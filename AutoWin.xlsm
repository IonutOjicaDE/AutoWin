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filterPrivacy="1" codeName="ThisWorkbook"/>
  <xr:revisionPtr revIDLastSave="0" documentId="13_ncr:1_{C982019F-B2AE-40A3-8854-23D31C78388C}" xr6:coauthVersionLast="47" xr6:coauthVersionMax="47" xr10:uidLastSave="{00000000-0000-0000-0000-000000000000}"/>
  <bookViews>
    <workbookView xWindow="43080" yWindow="4680" windowWidth="28800" windowHeight="15345" xr2:uid="{59A7BE6A-69FA-4B6D-9971-012718B30413}"/>
  </bookViews>
  <sheets>
    <sheet name="Automation" sheetId="1" r:id="rId1"/>
    <sheet name="KeyPress" sheetId="3" r:id="rId2"/>
  </sheets>
  <functionGroups builtInGroupCount="19"/>
  <definedNames>
    <definedName name="_xlnm.Print_Area" localSheetId="0">Automation!$A:$Q</definedName>
    <definedName name="_xlnm.Print_Area" localSheetId="1">KeyPress!$A:$F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8" i="1" l="1"/>
  <c r="O39" i="1" s="1"/>
  <c r="O40" i="1" s="1"/>
  <c r="O41" i="1" s="1"/>
  <c r="D30" i="1"/>
  <c r="C29" i="1"/>
  <c r="D22" i="1"/>
  <c r="D23" i="1" s="1"/>
  <c r="D24" i="1" s="1"/>
  <c r="D21" i="1"/>
  <c r="C21" i="1"/>
  <c r="C15" i="1"/>
  <c r="D7" i="1"/>
  <c r="C7" i="1"/>
  <c r="F6" i="1"/>
  <c r="F7" i="1" s="1"/>
  <c r="E6" i="1"/>
  <c r="G6" i="1" s="1"/>
  <c r="G7" i="1" s="1"/>
  <c r="C6" i="1"/>
  <c r="C4" i="1"/>
  <c r="E59" i="3"/>
  <c r="E84" i="3"/>
  <c r="C48" i="3"/>
  <c r="C46" i="3"/>
  <c r="F46" i="3" s="1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1" i="3"/>
  <c r="C215" i="3"/>
  <c r="C214" i="3"/>
  <c r="C213" i="3"/>
  <c r="C212" i="3"/>
  <c r="C211" i="3"/>
  <c r="C210" i="3"/>
  <c r="C209" i="3"/>
  <c r="C208" i="3"/>
  <c r="C207" i="3"/>
  <c r="C205" i="3"/>
  <c r="C204" i="3"/>
  <c r="C203" i="3"/>
  <c r="C202" i="3"/>
  <c r="C201" i="3"/>
  <c r="C200" i="3"/>
  <c r="C199" i="3"/>
  <c r="C198" i="3"/>
  <c r="C197" i="3"/>
  <c r="C196" i="3"/>
  <c r="C195" i="3"/>
  <c r="C194" i="3"/>
  <c r="C193" i="3"/>
  <c r="C192" i="3"/>
  <c r="C191" i="3"/>
  <c r="C190" i="3"/>
  <c r="C189" i="3"/>
  <c r="C188" i="3"/>
  <c r="C187" i="3"/>
  <c r="C186" i="3"/>
  <c r="C185" i="3"/>
  <c r="C184" i="3"/>
  <c r="C183" i="3"/>
  <c r="C182" i="3"/>
  <c r="C181" i="3"/>
  <c r="C180" i="3"/>
  <c r="C179" i="3"/>
  <c r="C178" i="3"/>
  <c r="C177" i="3"/>
  <c r="C176" i="3"/>
  <c r="C175" i="3"/>
  <c r="C173" i="3"/>
  <c r="C172" i="3"/>
  <c r="C171" i="3"/>
  <c r="C170" i="3"/>
  <c r="C168" i="3"/>
  <c r="C167" i="3"/>
  <c r="C166" i="3"/>
  <c r="C165" i="3"/>
  <c r="C163" i="3"/>
  <c r="C162" i="3"/>
  <c r="C161" i="3"/>
  <c r="C159" i="3"/>
  <c r="C158" i="3"/>
  <c r="C157" i="3"/>
  <c r="C156" i="3"/>
  <c r="C155" i="3"/>
  <c r="C154" i="3"/>
  <c r="C153" i="3"/>
  <c r="C151" i="3"/>
  <c r="C150" i="3"/>
  <c r="C149" i="3"/>
  <c r="C148" i="3"/>
  <c r="C147" i="3"/>
  <c r="C146" i="3"/>
  <c r="C144" i="3"/>
  <c r="C143" i="3"/>
  <c r="C142" i="3"/>
  <c r="C140" i="3"/>
  <c r="C139" i="3"/>
  <c r="C138" i="3"/>
  <c r="C137" i="3"/>
  <c r="C136" i="3"/>
  <c r="C135" i="3"/>
  <c r="C134" i="3"/>
  <c r="C133" i="3"/>
  <c r="C132" i="3"/>
  <c r="C131" i="3"/>
  <c r="C130" i="3"/>
  <c r="C129" i="3"/>
  <c r="C128" i="3"/>
  <c r="C127" i="3"/>
  <c r="C126" i="3"/>
  <c r="C125" i="3"/>
  <c r="C124" i="3"/>
  <c r="C123" i="3"/>
  <c r="C122" i="3"/>
  <c r="C121" i="3"/>
  <c r="C120" i="3"/>
  <c r="C119" i="3"/>
  <c r="C118" i="3"/>
  <c r="C117" i="3"/>
  <c r="C116" i="3"/>
  <c r="C115" i="3"/>
  <c r="C114" i="3"/>
  <c r="C113" i="3"/>
  <c r="C112" i="3"/>
  <c r="C111" i="3"/>
  <c r="C110" i="3"/>
  <c r="C109" i="3"/>
  <c r="C108" i="3"/>
  <c r="C107" i="3"/>
  <c r="C106" i="3"/>
  <c r="C105" i="3"/>
  <c r="C104" i="3"/>
  <c r="C103" i="3"/>
  <c r="C102" i="3"/>
  <c r="C101" i="3"/>
  <c r="C100" i="3"/>
  <c r="C99" i="3"/>
  <c r="C98" i="3"/>
  <c r="C97" i="3"/>
  <c r="C96" i="3"/>
  <c r="C95" i="3"/>
  <c r="C93" i="3"/>
  <c r="C92" i="3"/>
  <c r="C91" i="3"/>
  <c r="C89" i="3"/>
  <c r="C88" i="3"/>
  <c r="C87" i="3"/>
  <c r="C86" i="3"/>
  <c r="C84" i="3"/>
  <c r="B84" i="3"/>
  <c r="E83" i="3"/>
  <c r="C83" i="3"/>
  <c r="B83" i="3"/>
  <c r="E82" i="3"/>
  <c r="C82" i="3"/>
  <c r="B82" i="3"/>
  <c r="E81" i="3"/>
  <c r="C81" i="3"/>
  <c r="B81" i="3"/>
  <c r="E80" i="3"/>
  <c r="C80" i="3"/>
  <c r="B80" i="3"/>
  <c r="E79" i="3"/>
  <c r="C79" i="3"/>
  <c r="B79" i="3"/>
  <c r="E78" i="3"/>
  <c r="C78" i="3"/>
  <c r="B78" i="3"/>
  <c r="E77" i="3"/>
  <c r="C77" i="3"/>
  <c r="B77" i="3"/>
  <c r="E76" i="3"/>
  <c r="C76" i="3"/>
  <c r="B76" i="3"/>
  <c r="E75" i="3"/>
  <c r="C75" i="3"/>
  <c r="B75" i="3"/>
  <c r="E74" i="3"/>
  <c r="C74" i="3"/>
  <c r="B74" i="3"/>
  <c r="E73" i="3"/>
  <c r="C73" i="3"/>
  <c r="B73" i="3"/>
  <c r="E72" i="3"/>
  <c r="C72" i="3"/>
  <c r="B72" i="3"/>
  <c r="E71" i="3"/>
  <c r="C71" i="3"/>
  <c r="B71" i="3"/>
  <c r="E70" i="3"/>
  <c r="C70" i="3"/>
  <c r="B70" i="3"/>
  <c r="E69" i="3"/>
  <c r="C69" i="3"/>
  <c r="B69" i="3"/>
  <c r="E68" i="3"/>
  <c r="C68" i="3"/>
  <c r="B68" i="3"/>
  <c r="E67" i="3"/>
  <c r="C67" i="3"/>
  <c r="B67" i="3"/>
  <c r="E66" i="3"/>
  <c r="C66" i="3"/>
  <c r="B66" i="3"/>
  <c r="E65" i="3"/>
  <c r="C65" i="3"/>
  <c r="B65" i="3"/>
  <c r="E64" i="3"/>
  <c r="C64" i="3"/>
  <c r="B64" i="3"/>
  <c r="E63" i="3"/>
  <c r="C63" i="3"/>
  <c r="B63" i="3"/>
  <c r="E62" i="3"/>
  <c r="C62" i="3"/>
  <c r="B62" i="3"/>
  <c r="E61" i="3"/>
  <c r="C61" i="3"/>
  <c r="B61" i="3"/>
  <c r="E60" i="3"/>
  <c r="C60" i="3"/>
  <c r="B60" i="3"/>
  <c r="C59" i="3"/>
  <c r="B59" i="3"/>
  <c r="E57" i="3"/>
  <c r="C57" i="3"/>
  <c r="B57" i="3"/>
  <c r="E56" i="3"/>
  <c r="C56" i="3"/>
  <c r="B56" i="3"/>
  <c r="E55" i="3"/>
  <c r="C55" i="3"/>
  <c r="B55" i="3"/>
  <c r="E54" i="3"/>
  <c r="C54" i="3"/>
  <c r="B54" i="3"/>
  <c r="E53" i="3"/>
  <c r="C53" i="3"/>
  <c r="B53" i="3"/>
  <c r="E52" i="3"/>
  <c r="C52" i="3"/>
  <c r="B52" i="3"/>
  <c r="E51" i="3"/>
  <c r="C51" i="3"/>
  <c r="B51" i="3"/>
  <c r="E50" i="3"/>
  <c r="C50" i="3"/>
  <c r="B50" i="3"/>
  <c r="E49" i="3"/>
  <c r="C49" i="3"/>
  <c r="B49" i="3"/>
  <c r="E48" i="3"/>
  <c r="B48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5" i="3"/>
  <c r="C24" i="3"/>
  <c r="C22" i="3"/>
  <c r="C21" i="3"/>
  <c r="C20" i="3"/>
  <c r="C19" i="3"/>
  <c r="C18" i="3"/>
  <c r="C17" i="3"/>
  <c r="C16" i="3"/>
  <c r="C14" i="3"/>
  <c r="C13" i="3"/>
  <c r="C12" i="3"/>
  <c r="C10" i="3"/>
  <c r="C9" i="3"/>
  <c r="C8" i="3"/>
  <c r="C6" i="3"/>
  <c r="C5" i="3"/>
  <c r="C4" i="3"/>
  <c r="C3" i="3"/>
  <c r="C2" i="3"/>
  <c r="C1" i="3"/>
  <c r="E7" i="1" l="1"/>
</calcChain>
</file>

<file path=xl/sharedStrings.xml><?xml version="1.0" encoding="utf-8"?>
<sst xmlns="http://schemas.openxmlformats.org/spreadsheetml/2006/main" count="595" uniqueCount="459">
  <si>
    <t>Status</t>
  </si>
  <si>
    <t>Command</t>
  </si>
  <si>
    <t>Arg1</t>
  </si>
  <si>
    <t>Arg2</t>
  </si>
  <si>
    <t>Arg3</t>
  </si>
  <si>
    <t>Arg4</t>
  </si>
  <si>
    <t>Arg5</t>
  </si>
  <si>
    <t>Arg6</t>
  </si>
  <si>
    <t>Arg7</t>
  </si>
  <si>
    <t>Arg8</t>
  </si>
  <si>
    <t>Arg9</t>
  </si>
  <si>
    <t>Arg10</t>
  </si>
  <si>
    <t>WindowName before</t>
  </si>
  <si>
    <t>ColorUnderMouse before</t>
  </si>
  <si>
    <t>Pause before</t>
  </si>
  <si>
    <t>KeybdCode</t>
  </si>
  <si>
    <t>On Error</t>
  </si>
  <si>
    <t>Comment</t>
  </si>
  <si>
    <t>Sub</t>
  </si>
  <si>
    <t>Mouse Move Detection</t>
  </si>
  <si>
    <t>Stop</t>
  </si>
  <si>
    <t>Left click</t>
  </si>
  <si>
    <t>#FFFFFF</t>
  </si>
  <si>
    <t>~</t>
  </si>
  <si>
    <t>NEXT</t>
  </si>
  <si>
    <t>ENTER</t>
  </si>
  <si>
    <t>#FBFBFC</t>
  </si>
  <si>
    <t>*Left click</t>
  </si>
  <si>
    <t>PRIOR</t>
  </si>
  <si>
    <t>Right click</t>
  </si>
  <si>
    <t>End Sub</t>
  </si>
  <si>
    <t>Activate window by name</t>
  </si>
  <si>
    <t>LMENU</t>
  </si>
  <si>
    <t>F</t>
  </si>
  <si>
    <t>C</t>
  </si>
  <si>
    <t>H</t>
  </si>
  <si>
    <t>TAB</t>
  </si>
  <si>
    <t>O</t>
  </si>
  <si>
    <t>SPACE</t>
  </si>
  <si>
    <t>SHIFT</t>
  </si>
  <si>
    <t>V</t>
  </si>
  <si>
    <t>A</t>
  </si>
  <si>
    <t>F1</t>
  </si>
  <si>
    <t>W</t>
  </si>
  <si>
    <t>L</t>
  </si>
  <si>
    <t>UP</t>
  </si>
  <si>
    <t>CONTROL</t>
  </si>
  <si>
    <t>E</t>
  </si>
  <si>
    <t>I</t>
  </si>
  <si>
    <t>S</t>
  </si>
  <si>
    <t>M</t>
  </si>
  <si>
    <t>OEM_MINUS</t>
  </si>
  <si>
    <t>D</t>
  </si>
  <si>
    <t>OEM_PERIOD</t>
  </si>
  <si>
    <t>DOWN</t>
  </si>
  <si>
    <t>OEM_COMMA</t>
  </si>
  <si>
    <t>RETURN</t>
  </si>
  <si>
    <t>Get window name from class</t>
  </si>
  <si>
    <t>Get Resolution</t>
  </si>
  <si>
    <t>Set window position</t>
  </si>
  <si>
    <t>For</t>
  </si>
  <si>
    <t>Window Maximize</t>
  </si>
  <si>
    <t>Get Window State</t>
  </si>
  <si>
    <t>maximized</t>
  </si>
  <si>
    <t>If Then Skip</t>
  </si>
  <si>
    <t>Next</t>
  </si>
  <si>
    <t>Left click Down</t>
  </si>
  <si>
    <t>Left click Up</t>
  </si>
  <si>
    <t>Taskbar Menu (not small symbols on Taskbar for the color to match)</t>
  </si>
  <si>
    <t>sub</t>
  </si>
  <si>
    <t>#If Then Skip</t>
  </si>
  <si>
    <t>Read Mouse XY</t>
  </si>
  <si>
    <t>end sub</t>
  </si>
  <si>
    <t>record</t>
  </si>
  <si>
    <t>LBUTTON</t>
  </si>
  <si>
    <t>1</t>
  </si>
  <si>
    <t>Left mouse button</t>
  </si>
  <si>
    <t>https://docs.microsoft.com/en-us/windows/win32/inputdev/virtual-key-codes</t>
  </si>
  <si>
    <t>RBUTTON</t>
  </si>
  <si>
    <t>2</t>
  </si>
  <si>
    <t>Right mouse button</t>
  </si>
  <si>
    <t>CANCEL</t>
  </si>
  <si>
    <t>3</t>
  </si>
  <si>
    <t>Control-break processing</t>
  </si>
  <si>
    <t>MBUTTON</t>
  </si>
  <si>
    <t>4</t>
  </si>
  <si>
    <t>Middle mouse button</t>
  </si>
  <si>
    <t>XBUTTON1</t>
  </si>
  <si>
    <t>X1 mouse button</t>
  </si>
  <si>
    <t>XBUTTON2</t>
  </si>
  <si>
    <t>X2 mouse button</t>
  </si>
  <si>
    <t/>
  </si>
  <si>
    <t>BACK</t>
  </si>
  <si>
    <t>8</t>
  </si>
  <si>
    <t>BACKSPACE</t>
  </si>
  <si>
    <t>{BS}</t>
  </si>
  <si>
    <t>9</t>
  </si>
  <si>
    <t>{TAB}</t>
  </si>
  <si>
    <t>CLEAR</t>
  </si>
  <si>
    <t>{CLEAR}</t>
  </si>
  <si>
    <t>10</t>
  </si>
  <si>
    <t>11</t>
  </si>
  <si>
    <t>CTRL</t>
  </si>
  <si>
    <t>MENU</t>
  </si>
  <si>
    <t>12</t>
  </si>
  <si>
    <t>ALT</t>
  </si>
  <si>
    <t>PAUSE</t>
  </si>
  <si>
    <t>13</t>
  </si>
  <si>
    <t>CAPITAL</t>
  </si>
  <si>
    <t>14</t>
  </si>
  <si>
    <t>CAPS LOCK</t>
  </si>
  <si>
    <t>{CAPSLOCK}</t>
  </si>
  <si>
    <t>CAPSLOCK</t>
  </si>
  <si>
    <t>ESCAPE</t>
  </si>
  <si>
    <t>1B</t>
  </si>
  <si>
    <t>ESC</t>
  </si>
  <si>
    <t>{ESC}</t>
  </si>
  <si>
    <t>20</t>
  </si>
  <si>
    <t>SPACEBAR</t>
  </si>
  <si>
    <t xml:space="preserve"> </t>
  </si>
  <si>
    <t>21</t>
  </si>
  <si>
    <t>PAGE UP</t>
  </si>
  <si>
    <t>{PGUP}</t>
  </si>
  <si>
    <t>PAGEUP</t>
  </si>
  <si>
    <t>22</t>
  </si>
  <si>
    <t>PAGE DOWN</t>
  </si>
  <si>
    <t>{PGDN}</t>
  </si>
  <si>
    <t>PAGEDOWN</t>
  </si>
  <si>
    <t>END</t>
  </si>
  <si>
    <t>23</t>
  </si>
  <si>
    <t>{END}</t>
  </si>
  <si>
    <t>HOME</t>
  </si>
  <si>
    <t>24</t>
  </si>
  <si>
    <t>{HOME}</t>
  </si>
  <si>
    <t>LEFT</t>
  </si>
  <si>
    <t>25</t>
  </si>
  <si>
    <t>LEFT ARROW</t>
  </si>
  <si>
    <t>{LEFT}</t>
  </si>
  <si>
    <t>26</t>
  </si>
  <si>
    <t>UP ARROW</t>
  </si>
  <si>
    <t>{UP}</t>
  </si>
  <si>
    <t>RIGHT</t>
  </si>
  <si>
    <t>27</t>
  </si>
  <si>
    <t>RIGHT ARROW</t>
  </si>
  <si>
    <t>{RIGHT}</t>
  </si>
  <si>
    <t>28</t>
  </si>
  <si>
    <t>DOWN ARROW</t>
  </si>
  <si>
    <t>{DOWN}</t>
  </si>
  <si>
    <t>SELECT</t>
  </si>
  <si>
    <t>29</t>
  </si>
  <si>
    <t>PRINT</t>
  </si>
  <si>
    <t>2A</t>
  </si>
  <si>
    <t>EXECUTE</t>
  </si>
  <si>
    <t>2B</t>
  </si>
  <si>
    <t>SNAPSHOT</t>
  </si>
  <si>
    <t>2C</t>
  </si>
  <si>
    <t>PRINT SCREEN</t>
  </si>
  <si>
    <t>PRINTSCREEN</t>
  </si>
  <si>
    <t>INSERT</t>
  </si>
  <si>
    <t>2D</t>
  </si>
  <si>
    <t>INS</t>
  </si>
  <si>
    <t>{INSERT}</t>
  </si>
  <si>
    <t>DELETE</t>
  </si>
  <si>
    <t>2E</t>
  </si>
  <si>
    <t>DEL</t>
  </si>
  <si>
    <t>{DEL}</t>
  </si>
  <si>
    <t>HELP</t>
  </si>
  <si>
    <t>2F</t>
  </si>
  <si>
    <t>{HELP}</t>
  </si>
  <si>
    <t>0</t>
  </si>
  <si>
    <t>5</t>
  </si>
  <si>
    <t>6</t>
  </si>
  <si>
    <t>7</t>
  </si>
  <si>
    <t>B</t>
  </si>
  <si>
    <t>G</t>
  </si>
  <si>
    <t>J</t>
  </si>
  <si>
    <t>K</t>
  </si>
  <si>
    <t>N</t>
  </si>
  <si>
    <t>P</t>
  </si>
  <si>
    <t>Q</t>
  </si>
  <si>
    <t>R</t>
  </si>
  <si>
    <t>T</t>
  </si>
  <si>
    <t>U</t>
  </si>
  <si>
    <t>X</t>
  </si>
  <si>
    <t>Y</t>
  </si>
  <si>
    <t>Z</t>
  </si>
  <si>
    <t>LWIN</t>
  </si>
  <si>
    <t>5B</t>
  </si>
  <si>
    <t>Left Windows</t>
  </si>
  <si>
    <t>RWIN</t>
  </si>
  <si>
    <t>5C</t>
  </si>
  <si>
    <t>Right Windows</t>
  </si>
  <si>
    <t>APPS</t>
  </si>
  <si>
    <t>5D</t>
  </si>
  <si>
    <t>Application</t>
  </si>
  <si>
    <t>SLEEP</t>
  </si>
  <si>
    <t>5F</t>
  </si>
  <si>
    <t>Computer Sleep</t>
  </si>
  <si>
    <t>STARTKEY</t>
  </si>
  <si>
    <t>WINKEY</t>
  </si>
  <si>
    <t>CONTEXTKEY</t>
  </si>
  <si>
    <t>NUMPAD0</t>
  </si>
  <si>
    <t>60</t>
  </si>
  <si>
    <t>NUMPAD1</t>
  </si>
  <si>
    <t>61</t>
  </si>
  <si>
    <t>NUMPAD2</t>
  </si>
  <si>
    <t>62</t>
  </si>
  <si>
    <t>NUMPAD3</t>
  </si>
  <si>
    <t>63</t>
  </si>
  <si>
    <t>NUMPAD4</t>
  </si>
  <si>
    <t>64</t>
  </si>
  <si>
    <t>NUMPAD5</t>
  </si>
  <si>
    <t>65</t>
  </si>
  <si>
    <t>NUMPAD6</t>
  </si>
  <si>
    <t>66</t>
  </si>
  <si>
    <t>NUMPAD7</t>
  </si>
  <si>
    <t>67</t>
  </si>
  <si>
    <t>NUMPAD8</t>
  </si>
  <si>
    <t>68</t>
  </si>
  <si>
    <t>NUMPAD9</t>
  </si>
  <si>
    <t>69</t>
  </si>
  <si>
    <t>MULTIPLY</t>
  </si>
  <si>
    <t>6A</t>
  </si>
  <si>
    <t>*</t>
  </si>
  <si>
    <t>ADD</t>
  </si>
  <si>
    <t>6B</t>
  </si>
  <si>
    <t>+</t>
  </si>
  <si>
    <t>SEPARATOR</t>
  </si>
  <si>
    <t>6C</t>
  </si>
  <si>
    <t>,</t>
  </si>
  <si>
    <t>SUBTRACT</t>
  </si>
  <si>
    <t>6D</t>
  </si>
  <si>
    <t>-</t>
  </si>
  <si>
    <t>DECIMAL</t>
  </si>
  <si>
    <t>6E</t>
  </si>
  <si>
    <t>.</t>
  </si>
  <si>
    <t>DIVIDE</t>
  </si>
  <si>
    <t>6F</t>
  </si>
  <si>
    <t>/</t>
  </si>
  <si>
    <t>70</t>
  </si>
  <si>
    <t>{F1}</t>
  </si>
  <si>
    <t>F2</t>
  </si>
  <si>
    <t>71</t>
  </si>
  <si>
    <t>{F2}</t>
  </si>
  <si>
    <t>F3</t>
  </si>
  <si>
    <t>72</t>
  </si>
  <si>
    <t>{F3}</t>
  </si>
  <si>
    <t>F4</t>
  </si>
  <si>
    <t>73</t>
  </si>
  <si>
    <t>{F4}</t>
  </si>
  <si>
    <t>F5</t>
  </si>
  <si>
    <t>74</t>
  </si>
  <si>
    <t>{F5}</t>
  </si>
  <si>
    <t>F6</t>
  </si>
  <si>
    <t>75</t>
  </si>
  <si>
    <t>{F6}</t>
  </si>
  <si>
    <t>F7</t>
  </si>
  <si>
    <t>76</t>
  </si>
  <si>
    <t>{F7}</t>
  </si>
  <si>
    <t>F8</t>
  </si>
  <si>
    <t>77</t>
  </si>
  <si>
    <t>{F8}</t>
  </si>
  <si>
    <t>F9</t>
  </si>
  <si>
    <t>78</t>
  </si>
  <si>
    <t>{F9}</t>
  </si>
  <si>
    <t>F10</t>
  </si>
  <si>
    <t>79</t>
  </si>
  <si>
    <t>{F10}</t>
  </si>
  <si>
    <t>F11</t>
  </si>
  <si>
    <t>7A</t>
  </si>
  <si>
    <t>{F11}</t>
  </si>
  <si>
    <t>F12</t>
  </si>
  <si>
    <t>7B</t>
  </si>
  <si>
    <t>{F12}</t>
  </si>
  <si>
    <t>F13</t>
  </si>
  <si>
    <t>7C</t>
  </si>
  <si>
    <t>{F13}</t>
  </si>
  <si>
    <t>F14</t>
  </si>
  <si>
    <t>7D</t>
  </si>
  <si>
    <t>{F14}</t>
  </si>
  <si>
    <t>F15</t>
  </si>
  <si>
    <t>7E</t>
  </si>
  <si>
    <t>{F15}</t>
  </si>
  <si>
    <t>F16</t>
  </si>
  <si>
    <t>7F</t>
  </si>
  <si>
    <t>F17</t>
  </si>
  <si>
    <t>80</t>
  </si>
  <si>
    <t>F18</t>
  </si>
  <si>
    <t>81</t>
  </si>
  <si>
    <t>F19</t>
  </si>
  <si>
    <t>82</t>
  </si>
  <si>
    <t>F20</t>
  </si>
  <si>
    <t>83</t>
  </si>
  <si>
    <t>F21</t>
  </si>
  <si>
    <t>84</t>
  </si>
  <si>
    <t>F22</t>
  </si>
  <si>
    <t>85</t>
  </si>
  <si>
    <t>F23</t>
  </si>
  <si>
    <t>86</t>
  </si>
  <si>
    <t>F24</t>
  </si>
  <si>
    <t>87</t>
  </si>
  <si>
    <t>NUMLOCK</t>
  </si>
  <si>
    <t>90</t>
  </si>
  <si>
    <t>{NUMLOCK}</t>
  </si>
  <si>
    <t>SCROLL</t>
  </si>
  <si>
    <t>91</t>
  </si>
  <si>
    <t>{SCROLLLOCK}</t>
  </si>
  <si>
    <t>SCROLLLOCK</t>
  </si>
  <si>
    <t>LSHIFT</t>
  </si>
  <si>
    <t>A0</t>
  </si>
  <si>
    <t>Left SHIFT</t>
  </si>
  <si>
    <t>RSHIFT</t>
  </si>
  <si>
    <t>A1</t>
  </si>
  <si>
    <t>Right SHIFT</t>
  </si>
  <si>
    <t>LCONTROL</t>
  </si>
  <si>
    <t>A2</t>
  </si>
  <si>
    <t>Left CONTROL</t>
  </si>
  <si>
    <t>RCONTROL</t>
  </si>
  <si>
    <t>A3</t>
  </si>
  <si>
    <t>Right CONTROL</t>
  </si>
  <si>
    <t>A4</t>
  </si>
  <si>
    <t>Left MENU</t>
  </si>
  <si>
    <t>RMENU</t>
  </si>
  <si>
    <t>A5</t>
  </si>
  <si>
    <t>Right MENU</t>
  </si>
  <si>
    <t>BROWSER_BACK</t>
  </si>
  <si>
    <t>A6</t>
  </si>
  <si>
    <t>BROWSER_FORWARD</t>
  </si>
  <si>
    <t>A7</t>
  </si>
  <si>
    <t>BROWSER_REFRESH</t>
  </si>
  <si>
    <t>A8</t>
  </si>
  <si>
    <t>BROWSER_STOP</t>
  </si>
  <si>
    <t>A9</t>
  </si>
  <si>
    <t>BROWSER_SEARCH</t>
  </si>
  <si>
    <t>AA</t>
  </si>
  <si>
    <t>BROWSER_FAVORITES</t>
  </si>
  <si>
    <t>AB</t>
  </si>
  <si>
    <t>BROWSER_HOME</t>
  </si>
  <si>
    <t>AC</t>
  </si>
  <si>
    <t>Browser Start and Home</t>
  </si>
  <si>
    <t>VOLUME MUTE</t>
  </si>
  <si>
    <t>AD</t>
  </si>
  <si>
    <t>VOLUME DOWN</t>
  </si>
  <si>
    <t>AE</t>
  </si>
  <si>
    <t>VOLUME UP</t>
  </si>
  <si>
    <t>AF</t>
  </si>
  <si>
    <t>MEDIA NEXT TRACK</t>
  </si>
  <si>
    <t>B0</t>
  </si>
  <si>
    <t>MEDIA PREV TRACK</t>
  </si>
  <si>
    <t>B1</t>
  </si>
  <si>
    <t>MEDIA STOP</t>
  </si>
  <si>
    <t>B2</t>
  </si>
  <si>
    <t>MEDIA PLAY PAUSE</t>
  </si>
  <si>
    <t>B3</t>
  </si>
  <si>
    <t>LAUNCH MAIL</t>
  </si>
  <si>
    <t>B4</t>
  </si>
  <si>
    <t>LAUNCH MEDIA SELECT</t>
  </si>
  <si>
    <t>B5</t>
  </si>
  <si>
    <t>LAUNCH APP1</t>
  </si>
  <si>
    <t>B6</t>
  </si>
  <si>
    <t>LAUNCH APP2</t>
  </si>
  <si>
    <t>B7</t>
  </si>
  <si>
    <t>OEM_1</t>
  </si>
  <si>
    <t>BA</t>
  </si>
  <si>
    <t xml:space="preserve">Used for miscellaneous characters; it can vary by keyboard.
For the US standard keyboard, the ';:' key </t>
  </si>
  <si>
    <t>OEM_PLUS</t>
  </si>
  <si>
    <t>BB</t>
  </si>
  <si>
    <t>BC</t>
  </si>
  <si>
    <t>BD</t>
  </si>
  <si>
    <t>BE</t>
  </si>
  <si>
    <t>OEM_2</t>
  </si>
  <si>
    <t>BF</t>
  </si>
  <si>
    <t xml:space="preserve">Used for miscellaneous characters; it can vary by keyboard.
For the US standard keyboard, the '/?' key </t>
  </si>
  <si>
    <t>OEM_3</t>
  </si>
  <si>
    <t>C0</t>
  </si>
  <si>
    <t xml:space="preserve">Used for miscellaneous characters; it can vary by keyboard.
For the US standard keyboard, the '`~' key </t>
  </si>
  <si>
    <t>OEM_4</t>
  </si>
  <si>
    <t>DB</t>
  </si>
  <si>
    <t>Used for miscellaneous characters; it can vary by keyboard.
For the US standard keyboard, the '[{' key</t>
  </si>
  <si>
    <t>OEM_5</t>
  </si>
  <si>
    <t>DC</t>
  </si>
  <si>
    <t>Used for miscellaneous characters; it can vary by keyboard.
For the US standard keyboard, the '\|' key</t>
  </si>
  <si>
    <t>OEM_6</t>
  </si>
  <si>
    <t>DD</t>
  </si>
  <si>
    <t>Used for miscellaneous characters; it can vary by keyboard.
For the US standard keyboard, the ']}' key</t>
  </si>
  <si>
    <t>OEM_7</t>
  </si>
  <si>
    <t>DE</t>
  </si>
  <si>
    <t>Used for miscellaneous characters; it can vary by keyboard.
For the US standard keyboard, the 'single-quote/double-quote' key</t>
  </si>
  <si>
    <t>OEM_8</t>
  </si>
  <si>
    <t>DF</t>
  </si>
  <si>
    <t>Used for miscellaneous characters; it can vary by keyboard.</t>
  </si>
  <si>
    <t>ICO_F17</t>
  </si>
  <si>
    <t>E0</t>
  </si>
  <si>
    <t>Reserved</t>
  </si>
  <si>
    <t>ICO_F18</t>
  </si>
  <si>
    <t>E1</t>
  </si>
  <si>
    <t>OEM specific</t>
  </si>
  <si>
    <t>OEM102</t>
  </si>
  <si>
    <t>E2</t>
  </si>
  <si>
    <t>Either the angle bracket key or the backslash key on the RT 102-key keyboard</t>
  </si>
  <si>
    <t>ICO_HELP</t>
  </si>
  <si>
    <t>E3</t>
  </si>
  <si>
    <t>ICO_00</t>
  </si>
  <si>
    <t>E4</t>
  </si>
  <si>
    <t>ICO_CLEAR</t>
  </si>
  <si>
    <t>E6</t>
  </si>
  <si>
    <t>OEM_RESET</t>
  </si>
  <si>
    <t>E9</t>
  </si>
  <si>
    <t>OEM_JUMP</t>
  </si>
  <si>
    <t>EA</t>
  </si>
  <si>
    <t>OEM_PA1</t>
  </si>
  <si>
    <t>EB</t>
  </si>
  <si>
    <t>OEM_PA2</t>
  </si>
  <si>
    <t>EC</t>
  </si>
  <si>
    <t>OEM_PA3</t>
  </si>
  <si>
    <t>ED</t>
  </si>
  <si>
    <t>OEM_WSCTRL</t>
  </si>
  <si>
    <t>EE</t>
  </si>
  <si>
    <t>OEM_CUSEL</t>
  </si>
  <si>
    <t>EF</t>
  </si>
  <si>
    <t>OEM_ATTN</t>
  </si>
  <si>
    <t>F0</t>
  </si>
  <si>
    <t>OEM_FINNISH</t>
  </si>
  <si>
    <t>OEM_COPY</t>
  </si>
  <si>
    <t>OEM_AUTO</t>
  </si>
  <si>
    <t>OEM_ENLW</t>
  </si>
  <si>
    <t>OEM_BACKTAB</t>
  </si>
  <si>
    <t>ATTN</t>
  </si>
  <si>
    <t>Attn</t>
  </si>
  <si>
    <t>CRSEL</t>
  </si>
  <si>
    <t>CrSel</t>
  </si>
  <si>
    <t>EXSEL</t>
  </si>
  <si>
    <t>ExSel</t>
  </si>
  <si>
    <t>EREOF</t>
  </si>
  <si>
    <t>Erase EOF</t>
  </si>
  <si>
    <t>PLAY</t>
  </si>
  <si>
    <t>FA</t>
  </si>
  <si>
    <t>Play</t>
  </si>
  <si>
    <t>ZOOM</t>
  </si>
  <si>
    <t>FB</t>
  </si>
  <si>
    <t>Zoom</t>
  </si>
  <si>
    <t>NONAME</t>
  </si>
  <si>
    <t>FC</t>
  </si>
  <si>
    <t>PA1</t>
  </si>
  <si>
    <t>FD</t>
  </si>
  <si>
    <t>OEM_CLEAR</t>
  </si>
  <si>
    <t>FE</t>
  </si>
  <si>
    <t>Clear</t>
  </si>
  <si>
    <t>Notepad Resize</t>
  </si>
  <si>
    <t>Notepad</t>
  </si>
  <si>
    <t>Maximize Notepad</t>
  </si>
  <si>
    <t>Drag &amp; Drop</t>
  </si>
  <si>
    <t>Drag</t>
  </si>
  <si>
    <t>Drop</t>
  </si>
  <si>
    <t>Hide Search Symbol on Taskbar</t>
  </si>
  <si>
    <t>Search</t>
  </si>
  <si>
    <t>Hide</t>
  </si>
  <si>
    <t>Test</t>
  </si>
  <si>
    <t>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</si>
</sst>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color theme="1"/>
      <name val="Arial"/>
      <family val="2"/>
    </font>
    <font>
      <sz val="8"/>
      <name val="Arial"/>
      <family val="2"/>
    </font>
    <font>
      <sz val="11"/>
      <color theme="1"/>
      <name val="Aptos Narrow"/>
      <family val="2"/>
      <scheme val="minor"/>
    </font>
    <font>
      <sz val="10"/>
      <color theme="1"/>
      <name val="Arial"/>
      <family val="2"/>
    </font>
    <font>
      <b/>
      <sz val="9"/>
      <color theme="0" tint="-4.9989318521683403E-2"/>
      <name val="Arial"/>
      <family val="2"/>
    </font>
    <font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10"/>
      <color theme="0" tint="-4.9989318521683403E-2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15">
    <xf numFmtId="0" fontId="0" fillId="0" borderId="0" xfId="0"/>
    <xf numFmtId="0" fontId="3" fillId="0" borderId="0" xfId="1" applyFont="1"/>
    <xf numFmtId="0" fontId="3" fillId="0" borderId="0" xfId="1" applyFont="1" applyAlignment="1">
      <alignment horizontal="center"/>
    </xf>
    <xf numFmtId="0" fontId="3" fillId="0" borderId="0" xfId="1" applyFont="1" applyAlignment="1">
      <alignment horizontal="left"/>
    </xf>
    <xf numFmtId="0" fontId="3" fillId="0" borderId="0" xfId="1" quotePrefix="1" applyFont="1"/>
    <xf numFmtId="0" fontId="3" fillId="0" borderId="0" xfId="1" applyFont="1" applyAlignment="1">
      <alignment wrapText="1"/>
    </xf>
    <xf numFmtId="49" fontId="3" fillId="0" borderId="0" xfId="1" applyNumberFormat="1" applyFont="1"/>
    <xf numFmtId="49" fontId="4" fillId="2" borderId="0" xfId="0" applyNumberFormat="1" applyFont="1" applyFill="1"/>
    <xf numFmtId="49" fontId="5" fillId="2" borderId="0" xfId="0" applyNumberFormat="1" applyFont="1" applyFill="1"/>
    <xf numFmtId="0" fontId="6" fillId="2" borderId="0" xfId="0" applyFont="1" applyFill="1"/>
    <xf numFmtId="0" fontId="5" fillId="2" borderId="0" xfId="0" applyFont="1" applyFill="1"/>
    <xf numFmtId="0" fontId="7" fillId="2" borderId="0" xfId="0" applyFont="1" applyFill="1"/>
    <xf numFmtId="0" fontId="8" fillId="0" borderId="0" xfId="0" applyFont="1"/>
    <xf numFmtId="0" fontId="9" fillId="0" borderId="0" xfId="0" applyFont="1"/>
    <xf numFmtId="0" fontId="9" fillId="0" borderId="0" xfId="0" quotePrefix="1" applyFont="1"/>
  </cellXfs>
  <cellStyles count="2">
    <cellStyle name="Normal" xfId="0" builtinId="0" customBuiltin="1"/>
    <cellStyle name="Standard 2" xfId="1" xr:uid="{B5F1190E-1674-45A0-9695-B8CED8B7ACD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69E01-3E0A-4D3C-9EAC-87EE7314C4F3}">
  <sheetPr codeName="shAuto">
    <outlinePr summaryBelow="0" summaryRight="0"/>
    <pageSetUpPr fitToPage="1"/>
  </sheetPr>
  <dimension ref="A1:R47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13" sqref="D13"/>
    </sheetView>
  </sheetViews>
  <sheetFormatPr defaultColWidth="11.42578125" defaultRowHeight="12.75" x14ac:dyDescent="0.2"/>
  <cols>
    <col min="1" max="1" width="5.5703125" style="8" customWidth="1"/>
    <col min="2" max="2" width="25.5703125" style="13" customWidth="1"/>
    <col min="3" max="3" width="19.5703125" style="13" customWidth="1"/>
    <col min="4" max="4" width="11.42578125" style="13" collapsed="1"/>
    <col min="5" max="7" width="11.42578125" style="13" customWidth="1"/>
    <col min="8" max="12" width="11.42578125" style="13" hidden="1" customWidth="1"/>
    <col min="13" max="13" width="19.28515625" style="13" customWidth="1"/>
    <col min="14" max="14" width="24" style="13" customWidth="1"/>
    <col min="15" max="15" width="12.85546875" style="13" customWidth="1"/>
    <col min="16" max="16" width="11.28515625" style="13" customWidth="1"/>
    <col min="17" max="17" width="10.42578125" style="13" customWidth="1"/>
    <col min="18" max="18" width="32.28515625" style="10" customWidth="1"/>
    <col min="19" max="16384" width="11.42578125" style="10"/>
  </cols>
  <sheetData>
    <row r="1" spans="1:18" ht="15" x14ac:dyDescent="0.25">
      <c r="A1" s="7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  <c r="G1" s="9" t="s">
        <v>6</v>
      </c>
      <c r="H1" s="9" t="s">
        <v>7</v>
      </c>
      <c r="I1" s="9" t="s">
        <v>8</v>
      </c>
      <c r="J1" s="9" t="s">
        <v>9</v>
      </c>
      <c r="K1" s="9" t="s">
        <v>10</v>
      </c>
      <c r="L1" s="9" t="s">
        <v>11</v>
      </c>
      <c r="M1" s="9" t="s">
        <v>12</v>
      </c>
      <c r="N1" s="9" t="s">
        <v>13</v>
      </c>
      <c r="O1" s="9" t="s">
        <v>14</v>
      </c>
      <c r="P1" s="9" t="s">
        <v>15</v>
      </c>
      <c r="Q1" s="9" t="s">
        <v>16</v>
      </c>
      <c r="R1" s="9" t="s">
        <v>17</v>
      </c>
    </row>
    <row r="2" spans="1:18" x14ac:dyDescent="0.2">
      <c r="B2" s="12" t="s">
        <v>18</v>
      </c>
      <c r="C2" s="12" t="s">
        <v>448</v>
      </c>
    </row>
    <row r="3" spans="1:18" x14ac:dyDescent="0.2">
      <c r="B3" s="14" t="s">
        <v>57</v>
      </c>
      <c r="D3" s="13" t="s">
        <v>449</v>
      </c>
    </row>
    <row r="4" spans="1:18" x14ac:dyDescent="0.2">
      <c r="B4" s="13" t="s">
        <v>31</v>
      </c>
      <c r="C4" s="13" t="str">
        <f>D3</f>
        <v>Notepad</v>
      </c>
      <c r="O4" s="13">
        <v>500</v>
      </c>
    </row>
    <row r="5" spans="1:18" x14ac:dyDescent="0.2">
      <c r="B5" s="13" t="s">
        <v>58</v>
      </c>
      <c r="C5" s="13">
        <v>1920</v>
      </c>
      <c r="D5" s="13">
        <v>1200</v>
      </c>
      <c r="O5" s="13">
        <v>500</v>
      </c>
    </row>
    <row r="6" spans="1:18" x14ac:dyDescent="0.2">
      <c r="B6" s="13" t="s">
        <v>59</v>
      </c>
      <c r="C6" s="13" t="str">
        <f>D3</f>
        <v>Notepad</v>
      </c>
      <c r="D6" s="13">
        <v>15</v>
      </c>
      <c r="E6" s="13">
        <f>D6</f>
        <v>15</v>
      </c>
      <c r="F6" s="13">
        <f>C5-D6*2</f>
        <v>1890</v>
      </c>
      <c r="G6" s="13">
        <f>D5-E6*2-30</f>
        <v>1140</v>
      </c>
      <c r="O6" s="13">
        <v>500</v>
      </c>
    </row>
    <row r="7" spans="1:18" x14ac:dyDescent="0.2">
      <c r="B7" s="13" t="s">
        <v>59</v>
      </c>
      <c r="C7" s="13" t="str">
        <f>D3</f>
        <v>Notepad</v>
      </c>
      <c r="D7" s="13">
        <f>D6</f>
        <v>15</v>
      </c>
      <c r="E7" s="13">
        <f>E6</f>
        <v>15</v>
      </c>
      <c r="F7" s="13">
        <f>F6+1</f>
        <v>1891</v>
      </c>
      <c r="G7" s="13">
        <f>G6</f>
        <v>1140</v>
      </c>
      <c r="O7" s="13">
        <v>500</v>
      </c>
    </row>
    <row r="8" spans="1:18" x14ac:dyDescent="0.2">
      <c r="B8" s="13" t="s">
        <v>30</v>
      </c>
    </row>
    <row r="10" spans="1:18" x14ac:dyDescent="0.2">
      <c r="B10" s="13" t="s">
        <v>18</v>
      </c>
      <c r="C10" s="13" t="s">
        <v>450</v>
      </c>
    </row>
    <row r="11" spans="1:18" x14ac:dyDescent="0.2">
      <c r="B11" s="13" t="s">
        <v>60</v>
      </c>
      <c r="D11" s="13">
        <v>0</v>
      </c>
      <c r="E11" s="13">
        <v>1</v>
      </c>
      <c r="F11" s="13">
        <v>10</v>
      </c>
    </row>
    <row r="12" spans="1:18" x14ac:dyDescent="0.2">
      <c r="B12" s="13" t="s">
        <v>31</v>
      </c>
      <c r="C12" s="13" t="s">
        <v>449</v>
      </c>
    </row>
    <row r="13" spans="1:18" x14ac:dyDescent="0.2">
      <c r="B13" s="14" t="s">
        <v>61</v>
      </c>
      <c r="O13" s="13">
        <v>500</v>
      </c>
    </row>
    <row r="14" spans="1:18" x14ac:dyDescent="0.2">
      <c r="B14" s="13" t="s">
        <v>62</v>
      </c>
      <c r="D14" s="13" t="s">
        <v>63</v>
      </c>
      <c r="O14" s="13">
        <v>300</v>
      </c>
    </row>
    <row r="15" spans="1:18" x14ac:dyDescent="0.2">
      <c r="B15" s="13" t="s">
        <v>64</v>
      </c>
      <c r="C15" s="13" t="b">
        <f>D14="maximize"</f>
        <v>0</v>
      </c>
      <c r="D15" s="13">
        <v>1</v>
      </c>
      <c r="O15" s="13">
        <v>200</v>
      </c>
    </row>
    <row r="16" spans="1:18" x14ac:dyDescent="0.2">
      <c r="B16" s="13" t="s">
        <v>65</v>
      </c>
    </row>
    <row r="17" spans="2:18" x14ac:dyDescent="0.2">
      <c r="B17" s="13" t="s">
        <v>30</v>
      </c>
    </row>
    <row r="19" spans="2:18" x14ac:dyDescent="0.2">
      <c r="B19" s="13" t="s">
        <v>18</v>
      </c>
      <c r="C19" s="13" t="s">
        <v>451</v>
      </c>
    </row>
    <row r="20" spans="2:18" x14ac:dyDescent="0.2">
      <c r="B20" s="13" t="s">
        <v>21</v>
      </c>
      <c r="C20" s="13">
        <v>131</v>
      </c>
      <c r="D20" s="13">
        <v>237</v>
      </c>
      <c r="N20" s="13" t="s">
        <v>22</v>
      </c>
    </row>
    <row r="21" spans="2:18" x14ac:dyDescent="0.2">
      <c r="B21" s="13" t="s">
        <v>21</v>
      </c>
      <c r="C21" s="13">
        <f>C20</f>
        <v>131</v>
      </c>
      <c r="D21" s="13">
        <f>D20+20</f>
        <v>257</v>
      </c>
      <c r="O21" s="13">
        <v>500</v>
      </c>
    </row>
    <row r="22" spans="2:18" x14ac:dyDescent="0.2">
      <c r="B22" s="13" t="s">
        <v>27</v>
      </c>
      <c r="C22" s="13">
        <v>20</v>
      </c>
      <c r="D22" s="13">
        <f>D20</f>
        <v>237</v>
      </c>
      <c r="O22" s="13">
        <v>1000</v>
      </c>
    </row>
    <row r="23" spans="2:18" x14ac:dyDescent="0.2">
      <c r="B23" s="13" t="s">
        <v>66</v>
      </c>
      <c r="C23" s="13">
        <v>158</v>
      </c>
      <c r="D23" s="13">
        <f>D22</f>
        <v>237</v>
      </c>
      <c r="N23" s="13" t="s">
        <v>26</v>
      </c>
      <c r="O23" s="13">
        <v>1000</v>
      </c>
      <c r="R23" s="10" t="s">
        <v>452</v>
      </c>
    </row>
    <row r="24" spans="2:18" x14ac:dyDescent="0.2">
      <c r="B24" s="13" t="s">
        <v>67</v>
      </c>
      <c r="C24" s="13">
        <v>540</v>
      </c>
      <c r="D24" s="13">
        <f>D23</f>
        <v>237</v>
      </c>
      <c r="O24" s="13">
        <v>500</v>
      </c>
      <c r="R24" s="11" t="s">
        <v>453</v>
      </c>
    </row>
    <row r="25" spans="2:18" x14ac:dyDescent="0.2">
      <c r="B25" s="13" t="s">
        <v>30</v>
      </c>
    </row>
    <row r="27" spans="2:18" x14ac:dyDescent="0.2">
      <c r="B27" s="13" t="s">
        <v>18</v>
      </c>
      <c r="C27" s="13" t="s">
        <v>454</v>
      </c>
    </row>
    <row r="28" spans="2:18" x14ac:dyDescent="0.2">
      <c r="B28" s="13" t="s">
        <v>29</v>
      </c>
      <c r="C28" s="13">
        <v>1850</v>
      </c>
      <c r="D28" s="13">
        <v>1180</v>
      </c>
      <c r="R28" s="10" t="s">
        <v>68</v>
      </c>
    </row>
    <row r="29" spans="2:18" x14ac:dyDescent="0.2">
      <c r="B29" s="13" t="s">
        <v>21</v>
      </c>
      <c r="C29" s="13">
        <f>C28</f>
        <v>1850</v>
      </c>
      <c r="D29" s="13">
        <v>820</v>
      </c>
      <c r="R29" s="10" t="s">
        <v>455</v>
      </c>
    </row>
    <row r="30" spans="2:18" x14ac:dyDescent="0.2">
      <c r="B30" s="13" t="s">
        <v>21</v>
      </c>
      <c r="C30" s="13">
        <v>1400</v>
      </c>
      <c r="D30" s="13">
        <f>D29</f>
        <v>820</v>
      </c>
      <c r="R30" s="10" t="s">
        <v>456</v>
      </c>
    </row>
    <row r="31" spans="2:18" x14ac:dyDescent="0.2">
      <c r="B31" s="13" t="s">
        <v>30</v>
      </c>
    </row>
    <row r="34" spans="2:15" x14ac:dyDescent="0.2">
      <c r="B34" s="13" t="s">
        <v>69</v>
      </c>
      <c r="C34" s="13" t="s">
        <v>457</v>
      </c>
    </row>
    <row r="35" spans="2:15" x14ac:dyDescent="0.2">
      <c r="B35" s="13" t="s">
        <v>70</v>
      </c>
      <c r="D35" s="13">
        <v>1</v>
      </c>
      <c r="E35" s="13">
        <v>3</v>
      </c>
    </row>
    <row r="36" spans="2:15" x14ac:dyDescent="0.2">
      <c r="B36" s="13" t="s">
        <v>19</v>
      </c>
      <c r="C36" s="13" t="s">
        <v>20</v>
      </c>
    </row>
    <row r="37" spans="2:15" x14ac:dyDescent="0.2">
      <c r="B37" s="13" t="s">
        <v>71</v>
      </c>
      <c r="O37" s="13">
        <v>1000</v>
      </c>
    </row>
    <row r="38" spans="2:15" x14ac:dyDescent="0.2">
      <c r="B38" s="13" t="s">
        <v>71</v>
      </c>
      <c r="O38" s="13">
        <f>O37</f>
        <v>1000</v>
      </c>
    </row>
    <row r="39" spans="2:15" x14ac:dyDescent="0.2">
      <c r="B39" s="13" t="s">
        <v>71</v>
      </c>
      <c r="O39" s="13">
        <f>O38</f>
        <v>1000</v>
      </c>
    </row>
    <row r="40" spans="2:15" x14ac:dyDescent="0.2">
      <c r="B40" s="13" t="s">
        <v>71</v>
      </c>
      <c r="O40" s="13">
        <f>O39</f>
        <v>1000</v>
      </c>
    </row>
    <row r="41" spans="2:15" x14ac:dyDescent="0.2">
      <c r="B41" s="13" t="s">
        <v>71</v>
      </c>
      <c r="O41" s="13">
        <f>O40</f>
        <v>1000</v>
      </c>
    </row>
    <row r="43" spans="2:15" x14ac:dyDescent="0.2">
      <c r="B43" s="13" t="s">
        <v>72</v>
      </c>
    </row>
    <row r="46" spans="2:15" x14ac:dyDescent="0.2">
      <c r="B46" s="13" t="s">
        <v>18</v>
      </c>
      <c r="C46" s="13" t="s">
        <v>458</v>
      </c>
    </row>
    <row r="47" spans="2:15" x14ac:dyDescent="0.2">
      <c r="B47" s="13" t="s">
        <v>73</v>
      </c>
    </row>
  </sheetData>
  <phoneticPr fontId="1" type="noConversion"/>
  <printOptions gridLines="1"/>
  <pageMargins left="0.23622047244094491" right="0.23622047244094491" top="0.74803149606299213" bottom="0.74803149606299213" header="0.31496062992125984" footer="0.31496062992125984"/>
  <pageSetup paperSize="9" scale="83" fitToHeight="0" orientation="landscape" r:id="rId1"/>
  <headerFooter>
    <oddHeader>&amp;LIonut Ojica&amp;CPage &amp;P of &amp;N&amp;RPrinted on &amp;D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8359B-D688-400B-97FA-DB1F3AE6F8ED}">
  <sheetPr codeName="shKey">
    <pageSetUpPr fitToPage="1"/>
  </sheetPr>
  <dimension ref="A1:G215"/>
  <sheetViews>
    <sheetView workbookViewId="0">
      <selection sqref="A1:F1048576"/>
    </sheetView>
  </sheetViews>
  <sheetFormatPr defaultColWidth="9.140625" defaultRowHeight="12.75" x14ac:dyDescent="0.2"/>
  <cols>
    <col min="1" max="1" width="21.42578125" style="1" bestFit="1" customWidth="1"/>
    <col min="2" max="3" width="9.140625" style="2"/>
    <col min="4" max="4" width="62.85546875" style="1" customWidth="1"/>
    <col min="5" max="16384" width="9.140625" style="1"/>
  </cols>
  <sheetData>
    <row r="1" spans="1:7" x14ac:dyDescent="0.2">
      <c r="A1" s="1" t="s">
        <v>74</v>
      </c>
      <c r="B1" s="2" t="s">
        <v>75</v>
      </c>
      <c r="C1" s="2">
        <f t="shared" ref="C1:C6" si="0">HEX2DEC(B1)</f>
        <v>1</v>
      </c>
      <c r="D1" s="1" t="s">
        <v>76</v>
      </c>
      <c r="E1" s="1" t="s">
        <v>77</v>
      </c>
      <c r="F1" s="1" t="str">
        <f>IFERROR(CHAR(C1),"- - -")</f>
        <v>_x0001_</v>
      </c>
      <c r="G1" s="6"/>
    </row>
    <row r="2" spans="1:7" x14ac:dyDescent="0.2">
      <c r="A2" s="1" t="s">
        <v>78</v>
      </c>
      <c r="B2" s="2" t="s">
        <v>79</v>
      </c>
      <c r="C2" s="2">
        <f t="shared" si="0"/>
        <v>2</v>
      </c>
      <c r="D2" s="1" t="s">
        <v>80</v>
      </c>
      <c r="F2" s="1" t="str">
        <f t="shared" ref="F2:F65" si="1">IFERROR(CHAR(C2),"- - -")</f>
        <v>_x0002_</v>
      </c>
      <c r="G2" s="6"/>
    </row>
    <row r="3" spans="1:7" x14ac:dyDescent="0.2">
      <c r="A3" s="1" t="s">
        <v>81</v>
      </c>
      <c r="B3" s="2" t="s">
        <v>82</v>
      </c>
      <c r="C3" s="2">
        <f t="shared" si="0"/>
        <v>3</v>
      </c>
      <c r="D3" s="1" t="s">
        <v>83</v>
      </c>
      <c r="F3" s="1" t="str">
        <f t="shared" si="1"/>
        <v>_x0003_</v>
      </c>
      <c r="G3" s="6"/>
    </row>
    <row r="4" spans="1:7" x14ac:dyDescent="0.2">
      <c r="A4" s="1" t="s">
        <v>84</v>
      </c>
      <c r="B4" s="2" t="s">
        <v>85</v>
      </c>
      <c r="C4" s="2">
        <f t="shared" si="0"/>
        <v>4</v>
      </c>
      <c r="D4" s="1" t="s">
        <v>86</v>
      </c>
      <c r="F4" s="1" t="str">
        <f t="shared" si="1"/>
        <v>_x0004_</v>
      </c>
      <c r="G4" s="6"/>
    </row>
    <row r="5" spans="1:7" x14ac:dyDescent="0.2">
      <c r="A5" s="1" t="s">
        <v>87</v>
      </c>
      <c r="B5" s="2">
        <v>5</v>
      </c>
      <c r="C5" s="2">
        <f t="shared" si="0"/>
        <v>5</v>
      </c>
      <c r="D5" s="1" t="s">
        <v>88</v>
      </c>
      <c r="F5" s="1" t="str">
        <f t="shared" si="1"/>
        <v>_x0005_</v>
      </c>
      <c r="G5" s="6"/>
    </row>
    <row r="6" spans="1:7" x14ac:dyDescent="0.2">
      <c r="A6" s="1" t="s">
        <v>89</v>
      </c>
      <c r="B6" s="2">
        <v>6</v>
      </c>
      <c r="C6" s="2">
        <f t="shared" si="0"/>
        <v>6</v>
      </c>
      <c r="D6" s="1" t="s">
        <v>90</v>
      </c>
      <c r="F6" s="1" t="str">
        <f t="shared" si="1"/>
        <v>_x0006_</v>
      </c>
      <c r="G6" s="6"/>
    </row>
    <row r="7" spans="1:7" x14ac:dyDescent="0.2">
      <c r="A7" s="1" t="s">
        <v>91</v>
      </c>
      <c r="F7" s="1" t="str">
        <f t="shared" si="1"/>
        <v>- - -</v>
      </c>
      <c r="G7" s="6"/>
    </row>
    <row r="8" spans="1:7" x14ac:dyDescent="0.2">
      <c r="A8" s="1" t="s">
        <v>92</v>
      </c>
      <c r="B8" s="2" t="s">
        <v>93</v>
      </c>
      <c r="C8" s="2">
        <f>HEX2DEC(B8)</f>
        <v>8</v>
      </c>
      <c r="D8" s="1" t="s">
        <v>94</v>
      </c>
      <c r="E8" s="1" t="s">
        <v>95</v>
      </c>
      <c r="F8" s="1" t="str">
        <f t="shared" si="1"/>
        <v>_x0008_</v>
      </c>
      <c r="G8" s="6"/>
    </row>
    <row r="9" spans="1:7" x14ac:dyDescent="0.2">
      <c r="A9" s="1" t="s">
        <v>94</v>
      </c>
      <c r="B9" s="2" t="s">
        <v>93</v>
      </c>
      <c r="C9" s="2">
        <f>HEX2DEC(B9)</f>
        <v>8</v>
      </c>
      <c r="D9" s="1" t="s">
        <v>94</v>
      </c>
      <c r="E9" s="1" t="s">
        <v>95</v>
      </c>
      <c r="F9" s="1" t="str">
        <f t="shared" si="1"/>
        <v>_x0008_</v>
      </c>
      <c r="G9" s="6"/>
    </row>
    <row r="10" spans="1:7" x14ac:dyDescent="0.2">
      <c r="A10" s="1" t="s">
        <v>36</v>
      </c>
      <c r="B10" s="2" t="s">
        <v>96</v>
      </c>
      <c r="C10" s="2">
        <f>HEX2DEC(B10)</f>
        <v>9</v>
      </c>
      <c r="D10" s="1" t="s">
        <v>36</v>
      </c>
      <c r="E10" s="1" t="s">
        <v>97</v>
      </c>
      <c r="F10" s="1" t="str">
        <f t="shared" si="1"/>
        <v xml:space="preserve">	</v>
      </c>
      <c r="G10" s="6"/>
    </row>
    <row r="11" spans="1:7" x14ac:dyDescent="0.2">
      <c r="A11" s="1" t="s">
        <v>91</v>
      </c>
      <c r="F11" s="1" t="str">
        <f t="shared" si="1"/>
        <v>- - -</v>
      </c>
      <c r="G11" s="6"/>
    </row>
    <row r="12" spans="1:7" x14ac:dyDescent="0.2">
      <c r="A12" s="1" t="s">
        <v>98</v>
      </c>
      <c r="B12" s="2" t="s">
        <v>34</v>
      </c>
      <c r="C12" s="2">
        <f>HEX2DEC(B12)</f>
        <v>12</v>
      </c>
      <c r="D12" s="1" t="s">
        <v>98</v>
      </c>
      <c r="E12" s="1" t="s">
        <v>99</v>
      </c>
      <c r="F12" s="1" t="str">
        <f t="shared" si="1"/>
        <v>_x000C_</v>
      </c>
      <c r="G12" s="6"/>
    </row>
    <row r="13" spans="1:7" x14ac:dyDescent="0.2">
      <c r="A13" s="1" t="s">
        <v>56</v>
      </c>
      <c r="B13" s="2" t="s">
        <v>52</v>
      </c>
      <c r="C13" s="2">
        <f>HEX2DEC(B13)</f>
        <v>13</v>
      </c>
      <c r="D13" s="1" t="s">
        <v>25</v>
      </c>
      <c r="E13" s="1" t="s">
        <v>23</v>
      </c>
      <c r="F13" s="1" t="str">
        <f t="shared" si="1"/>
        <v>_x000D_</v>
      </c>
      <c r="G13" s="6"/>
    </row>
    <row r="14" spans="1:7" x14ac:dyDescent="0.2">
      <c r="A14" s="1" t="s">
        <v>25</v>
      </c>
      <c r="B14" s="2" t="s">
        <v>52</v>
      </c>
      <c r="C14" s="2">
        <f>HEX2DEC(B14)</f>
        <v>13</v>
      </c>
      <c r="D14" s="1" t="s">
        <v>25</v>
      </c>
      <c r="E14" s="1" t="s">
        <v>23</v>
      </c>
      <c r="F14" s="1" t="str">
        <f t="shared" si="1"/>
        <v>_x000D_</v>
      </c>
      <c r="G14" s="6"/>
    </row>
    <row r="15" spans="1:7" x14ac:dyDescent="0.2">
      <c r="A15" s="1" t="s">
        <v>91</v>
      </c>
      <c r="F15" s="1" t="str">
        <f t="shared" si="1"/>
        <v>- - -</v>
      </c>
      <c r="G15" s="6"/>
    </row>
    <row r="16" spans="1:7" x14ac:dyDescent="0.2">
      <c r="A16" s="1" t="s">
        <v>39</v>
      </c>
      <c r="B16" s="2" t="s">
        <v>100</v>
      </c>
      <c r="C16" s="2">
        <f t="shared" ref="C16:C22" si="2">HEX2DEC(B16)</f>
        <v>16</v>
      </c>
      <c r="D16" s="1" t="s">
        <v>39</v>
      </c>
      <c r="F16" s="1" t="str">
        <f t="shared" si="1"/>
        <v>_x0010_</v>
      </c>
      <c r="G16" s="6"/>
    </row>
    <row r="17" spans="1:7" x14ac:dyDescent="0.2">
      <c r="A17" s="1" t="s">
        <v>46</v>
      </c>
      <c r="B17" s="2" t="s">
        <v>101</v>
      </c>
      <c r="C17" s="2">
        <f t="shared" si="2"/>
        <v>17</v>
      </c>
      <c r="D17" s="1" t="s">
        <v>102</v>
      </c>
      <c r="F17" s="1" t="str">
        <f t="shared" si="1"/>
        <v>_x0011_</v>
      </c>
      <c r="G17" s="6"/>
    </row>
    <row r="18" spans="1:7" x14ac:dyDescent="0.2">
      <c r="A18" s="1" t="s">
        <v>103</v>
      </c>
      <c r="B18" s="2" t="s">
        <v>104</v>
      </c>
      <c r="C18" s="2">
        <f t="shared" si="2"/>
        <v>18</v>
      </c>
      <c r="D18" s="1" t="s">
        <v>105</v>
      </c>
      <c r="F18" s="1" t="str">
        <f t="shared" si="1"/>
        <v>_x0012_</v>
      </c>
      <c r="G18" s="6"/>
    </row>
    <row r="19" spans="1:7" x14ac:dyDescent="0.2">
      <c r="A19" s="1" t="s">
        <v>105</v>
      </c>
      <c r="B19" s="2" t="s">
        <v>104</v>
      </c>
      <c r="C19" s="2">
        <f t="shared" si="2"/>
        <v>18</v>
      </c>
      <c r="D19" s="1" t="s">
        <v>105</v>
      </c>
      <c r="F19" s="1" t="str">
        <f t="shared" si="1"/>
        <v>_x0012_</v>
      </c>
      <c r="G19" s="6"/>
    </row>
    <row r="20" spans="1:7" x14ac:dyDescent="0.2">
      <c r="A20" s="1" t="s">
        <v>106</v>
      </c>
      <c r="B20" s="2" t="s">
        <v>107</v>
      </c>
      <c r="C20" s="2">
        <f t="shared" si="2"/>
        <v>19</v>
      </c>
      <c r="D20" s="1" t="s">
        <v>106</v>
      </c>
      <c r="F20" s="1" t="str">
        <f t="shared" si="1"/>
        <v>_x0013_</v>
      </c>
      <c r="G20" s="6"/>
    </row>
    <row r="21" spans="1:7" x14ac:dyDescent="0.2">
      <c r="A21" s="1" t="s">
        <v>108</v>
      </c>
      <c r="B21" s="2" t="s">
        <v>109</v>
      </c>
      <c r="C21" s="2">
        <f t="shared" si="2"/>
        <v>20</v>
      </c>
      <c r="D21" s="1" t="s">
        <v>110</v>
      </c>
      <c r="E21" s="1" t="s">
        <v>111</v>
      </c>
      <c r="F21" s="1" t="str">
        <f t="shared" si="1"/>
        <v>_x0014_</v>
      </c>
      <c r="G21" s="6"/>
    </row>
    <row r="22" spans="1:7" x14ac:dyDescent="0.2">
      <c r="A22" s="1" t="s">
        <v>112</v>
      </c>
      <c r="B22" s="2" t="s">
        <v>109</v>
      </c>
      <c r="C22" s="2">
        <f t="shared" si="2"/>
        <v>20</v>
      </c>
      <c r="D22" s="1" t="s">
        <v>110</v>
      </c>
      <c r="E22" s="1" t="s">
        <v>111</v>
      </c>
      <c r="F22" s="1" t="str">
        <f t="shared" si="1"/>
        <v>_x0014_</v>
      </c>
      <c r="G22" s="6"/>
    </row>
    <row r="23" spans="1:7" x14ac:dyDescent="0.2">
      <c r="A23" s="1" t="s">
        <v>91</v>
      </c>
      <c r="F23" s="1" t="str">
        <f t="shared" si="1"/>
        <v>- - -</v>
      </c>
      <c r="G23" s="6"/>
    </row>
    <row r="24" spans="1:7" x14ac:dyDescent="0.2">
      <c r="A24" s="1" t="s">
        <v>113</v>
      </c>
      <c r="B24" s="2" t="s">
        <v>114</v>
      </c>
      <c r="C24" s="2">
        <f>HEX2DEC(B24)</f>
        <v>27</v>
      </c>
      <c r="D24" s="1" t="s">
        <v>115</v>
      </c>
      <c r="E24" s="1" t="s">
        <v>116</v>
      </c>
      <c r="F24" s="1" t="str">
        <f t="shared" si="1"/>
        <v>_x001B_</v>
      </c>
      <c r="G24" s="6"/>
    </row>
    <row r="25" spans="1:7" x14ac:dyDescent="0.2">
      <c r="A25" s="1" t="s">
        <v>115</v>
      </c>
      <c r="B25" s="2" t="s">
        <v>114</v>
      </c>
      <c r="C25" s="2">
        <f>HEX2DEC(B25)</f>
        <v>27</v>
      </c>
      <c r="D25" s="1" t="s">
        <v>115</v>
      </c>
      <c r="E25" s="1" t="s">
        <v>116</v>
      </c>
      <c r="F25" s="1" t="str">
        <f t="shared" si="1"/>
        <v>_x001B_</v>
      </c>
      <c r="G25" s="6"/>
    </row>
    <row r="26" spans="1:7" x14ac:dyDescent="0.2">
      <c r="A26" s="1" t="s">
        <v>91</v>
      </c>
      <c r="F26" s="1" t="str">
        <f t="shared" si="1"/>
        <v>- - -</v>
      </c>
      <c r="G26" s="6"/>
    </row>
    <row r="27" spans="1:7" x14ac:dyDescent="0.2">
      <c r="A27" s="1" t="s">
        <v>38</v>
      </c>
      <c r="B27" s="2" t="s">
        <v>117</v>
      </c>
      <c r="C27" s="2">
        <f t="shared" ref="C27:C45" si="3">HEX2DEC(B27)</f>
        <v>32</v>
      </c>
      <c r="D27" s="1" t="s">
        <v>118</v>
      </c>
      <c r="E27" s="1" t="s">
        <v>119</v>
      </c>
      <c r="F27" s="1" t="str">
        <f t="shared" si="1"/>
        <v xml:space="preserve"> </v>
      </c>
      <c r="G27" s="6"/>
    </row>
    <row r="28" spans="1:7" x14ac:dyDescent="0.2">
      <c r="A28" s="1" t="s">
        <v>91</v>
      </c>
      <c r="B28" s="2" t="s">
        <v>117</v>
      </c>
      <c r="C28" s="2">
        <f t="shared" si="3"/>
        <v>32</v>
      </c>
      <c r="D28" s="1" t="s">
        <v>118</v>
      </c>
      <c r="E28" s="1" t="s">
        <v>119</v>
      </c>
      <c r="F28" s="1" t="str">
        <f t="shared" si="1"/>
        <v xml:space="preserve"> </v>
      </c>
      <c r="G28" s="6"/>
    </row>
    <row r="29" spans="1:7" x14ac:dyDescent="0.2">
      <c r="A29" s="1" t="s">
        <v>28</v>
      </c>
      <c r="B29" s="2" t="s">
        <v>120</v>
      </c>
      <c r="C29" s="2">
        <f t="shared" si="3"/>
        <v>33</v>
      </c>
      <c r="D29" s="1" t="s">
        <v>121</v>
      </c>
      <c r="E29" s="1" t="s">
        <v>122</v>
      </c>
      <c r="F29" s="1" t="str">
        <f t="shared" si="1"/>
        <v>!</v>
      </c>
      <c r="G29" s="6"/>
    </row>
    <row r="30" spans="1:7" x14ac:dyDescent="0.2">
      <c r="A30" s="1" t="s">
        <v>123</v>
      </c>
      <c r="B30" s="2" t="s">
        <v>120</v>
      </c>
      <c r="C30" s="2">
        <f t="shared" si="3"/>
        <v>33</v>
      </c>
      <c r="D30" s="1" t="s">
        <v>121</v>
      </c>
      <c r="E30" s="1" t="s">
        <v>122</v>
      </c>
      <c r="F30" s="1" t="str">
        <f t="shared" si="1"/>
        <v>!</v>
      </c>
      <c r="G30" s="6"/>
    </row>
    <row r="31" spans="1:7" x14ac:dyDescent="0.2">
      <c r="A31" s="1" t="s">
        <v>24</v>
      </c>
      <c r="B31" s="2" t="s">
        <v>124</v>
      </c>
      <c r="C31" s="2">
        <f t="shared" si="3"/>
        <v>34</v>
      </c>
      <c r="D31" s="1" t="s">
        <v>125</v>
      </c>
      <c r="E31" s="1" t="s">
        <v>126</v>
      </c>
      <c r="F31" s="1" t="str">
        <f t="shared" si="1"/>
        <v>"</v>
      </c>
      <c r="G31" s="6"/>
    </row>
    <row r="32" spans="1:7" x14ac:dyDescent="0.2">
      <c r="A32" s="1" t="s">
        <v>127</v>
      </c>
      <c r="B32" s="2" t="s">
        <v>124</v>
      </c>
      <c r="C32" s="2">
        <f t="shared" si="3"/>
        <v>34</v>
      </c>
      <c r="D32" s="1" t="s">
        <v>125</v>
      </c>
      <c r="E32" s="1" t="s">
        <v>126</v>
      </c>
      <c r="F32" s="1" t="str">
        <f t="shared" si="1"/>
        <v>"</v>
      </c>
      <c r="G32" s="6"/>
    </row>
    <row r="33" spans="1:7" x14ac:dyDescent="0.2">
      <c r="A33" s="1" t="s">
        <v>128</v>
      </c>
      <c r="B33" s="2" t="s">
        <v>129</v>
      </c>
      <c r="C33" s="2">
        <f t="shared" si="3"/>
        <v>35</v>
      </c>
      <c r="D33" s="1" t="s">
        <v>128</v>
      </c>
      <c r="E33" s="1" t="s">
        <v>130</v>
      </c>
      <c r="F33" s="1" t="str">
        <f t="shared" si="1"/>
        <v>#</v>
      </c>
      <c r="G33" s="6"/>
    </row>
    <row r="34" spans="1:7" x14ac:dyDescent="0.2">
      <c r="A34" s="1" t="s">
        <v>131</v>
      </c>
      <c r="B34" s="2" t="s">
        <v>132</v>
      </c>
      <c r="C34" s="2">
        <f t="shared" si="3"/>
        <v>36</v>
      </c>
      <c r="D34" s="1" t="s">
        <v>131</v>
      </c>
      <c r="E34" s="1" t="s">
        <v>133</v>
      </c>
      <c r="F34" s="1" t="str">
        <f t="shared" si="1"/>
        <v>$</v>
      </c>
      <c r="G34" s="6"/>
    </row>
    <row r="35" spans="1:7" x14ac:dyDescent="0.2">
      <c r="A35" s="1" t="s">
        <v>134</v>
      </c>
      <c r="B35" s="2" t="s">
        <v>135</v>
      </c>
      <c r="C35" s="2">
        <f t="shared" si="3"/>
        <v>37</v>
      </c>
      <c r="D35" s="1" t="s">
        <v>136</v>
      </c>
      <c r="E35" s="1" t="s">
        <v>137</v>
      </c>
      <c r="F35" s="1" t="str">
        <f t="shared" si="1"/>
        <v>%</v>
      </c>
      <c r="G35" s="6"/>
    </row>
    <row r="36" spans="1:7" x14ac:dyDescent="0.2">
      <c r="A36" s="1" t="s">
        <v>45</v>
      </c>
      <c r="B36" s="2" t="s">
        <v>138</v>
      </c>
      <c r="C36" s="2">
        <f t="shared" si="3"/>
        <v>38</v>
      </c>
      <c r="D36" s="1" t="s">
        <v>139</v>
      </c>
      <c r="E36" s="1" t="s">
        <v>140</v>
      </c>
      <c r="F36" s="1" t="str">
        <f t="shared" si="1"/>
        <v>&amp;</v>
      </c>
      <c r="G36" s="6"/>
    </row>
    <row r="37" spans="1:7" x14ac:dyDescent="0.2">
      <c r="A37" s="1" t="s">
        <v>141</v>
      </c>
      <c r="B37" s="2" t="s">
        <v>142</v>
      </c>
      <c r="C37" s="2">
        <f t="shared" si="3"/>
        <v>39</v>
      </c>
      <c r="D37" s="1" t="s">
        <v>143</v>
      </c>
      <c r="E37" s="1" t="s">
        <v>144</v>
      </c>
      <c r="F37" s="1" t="str">
        <f t="shared" si="1"/>
        <v>'</v>
      </c>
      <c r="G37" s="6"/>
    </row>
    <row r="38" spans="1:7" x14ac:dyDescent="0.2">
      <c r="A38" s="1" t="s">
        <v>54</v>
      </c>
      <c r="B38" s="2" t="s">
        <v>145</v>
      </c>
      <c r="C38" s="2">
        <f t="shared" si="3"/>
        <v>40</v>
      </c>
      <c r="D38" s="1" t="s">
        <v>146</v>
      </c>
      <c r="E38" s="1" t="s">
        <v>147</v>
      </c>
      <c r="F38" s="1" t="str">
        <f t="shared" si="1"/>
        <v>(</v>
      </c>
      <c r="G38" s="6"/>
    </row>
    <row r="39" spans="1:7" x14ac:dyDescent="0.2">
      <c r="A39" s="1" t="s">
        <v>148</v>
      </c>
      <c r="B39" s="2" t="s">
        <v>149</v>
      </c>
      <c r="C39" s="2">
        <f t="shared" si="3"/>
        <v>41</v>
      </c>
      <c r="D39" s="1" t="s">
        <v>148</v>
      </c>
      <c r="F39" s="1" t="str">
        <f t="shared" si="1"/>
        <v>)</v>
      </c>
      <c r="G39" s="6"/>
    </row>
    <row r="40" spans="1:7" x14ac:dyDescent="0.2">
      <c r="A40" s="1" t="s">
        <v>150</v>
      </c>
      <c r="B40" s="2" t="s">
        <v>151</v>
      </c>
      <c r="C40" s="2">
        <f t="shared" si="3"/>
        <v>42</v>
      </c>
      <c r="D40" s="1" t="s">
        <v>150</v>
      </c>
      <c r="F40" s="1" t="str">
        <f t="shared" si="1"/>
        <v>*</v>
      </c>
      <c r="G40" s="6"/>
    </row>
    <row r="41" spans="1:7" x14ac:dyDescent="0.2">
      <c r="A41" s="1" t="s">
        <v>152</v>
      </c>
      <c r="B41" s="2" t="s">
        <v>153</v>
      </c>
      <c r="C41" s="2">
        <f t="shared" si="3"/>
        <v>43</v>
      </c>
      <c r="D41" s="1" t="s">
        <v>152</v>
      </c>
      <c r="F41" s="1" t="str">
        <f t="shared" si="1"/>
        <v>+</v>
      </c>
      <c r="G41" s="6"/>
    </row>
    <row r="42" spans="1:7" x14ac:dyDescent="0.2">
      <c r="A42" s="1" t="s">
        <v>154</v>
      </c>
      <c r="B42" s="2" t="s">
        <v>155</v>
      </c>
      <c r="C42" s="2">
        <f t="shared" si="3"/>
        <v>44</v>
      </c>
      <c r="D42" s="1" t="s">
        <v>156</v>
      </c>
      <c r="F42" s="1" t="str">
        <f t="shared" si="1"/>
        <v>,</v>
      </c>
      <c r="G42" s="6"/>
    </row>
    <row r="43" spans="1:7" x14ac:dyDescent="0.2">
      <c r="A43" s="1" t="s">
        <v>157</v>
      </c>
      <c r="B43" s="2" t="s">
        <v>155</v>
      </c>
      <c r="C43" s="2">
        <f t="shared" si="3"/>
        <v>44</v>
      </c>
      <c r="D43" s="1" t="s">
        <v>156</v>
      </c>
      <c r="F43" s="1" t="str">
        <f t="shared" si="1"/>
        <v>,</v>
      </c>
      <c r="G43" s="6"/>
    </row>
    <row r="44" spans="1:7" x14ac:dyDescent="0.2">
      <c r="A44" s="1" t="s">
        <v>158</v>
      </c>
      <c r="B44" s="2" t="s">
        <v>159</v>
      </c>
      <c r="C44" s="2">
        <f t="shared" si="3"/>
        <v>45</v>
      </c>
      <c r="D44" s="1" t="s">
        <v>160</v>
      </c>
      <c r="E44" s="1" t="s">
        <v>161</v>
      </c>
      <c r="F44" s="1" t="str">
        <f t="shared" si="1"/>
        <v>-</v>
      </c>
      <c r="G44" s="6"/>
    </row>
    <row r="45" spans="1:7" x14ac:dyDescent="0.2">
      <c r="A45" s="1" t="s">
        <v>162</v>
      </c>
      <c r="B45" s="2" t="s">
        <v>163</v>
      </c>
      <c r="C45" s="2">
        <f t="shared" si="3"/>
        <v>46</v>
      </c>
      <c r="D45" s="1" t="s">
        <v>164</v>
      </c>
      <c r="E45" s="1" t="s">
        <v>165</v>
      </c>
      <c r="F45" s="1" t="str">
        <f t="shared" si="1"/>
        <v>.</v>
      </c>
      <c r="G45" s="6"/>
    </row>
    <row r="46" spans="1:7" x14ac:dyDescent="0.2">
      <c r="A46" s="1" t="s">
        <v>166</v>
      </c>
      <c r="B46" s="2" t="s">
        <v>167</v>
      </c>
      <c r="C46" s="2">
        <f>HEX2DEC(B46)</f>
        <v>47</v>
      </c>
      <c r="D46" s="1" t="s">
        <v>166</v>
      </c>
      <c r="E46" s="1" t="s">
        <v>168</v>
      </c>
      <c r="F46" s="1" t="str">
        <f t="shared" si="1"/>
        <v>/</v>
      </c>
      <c r="G46" s="6"/>
    </row>
    <row r="47" spans="1:7" x14ac:dyDescent="0.2">
      <c r="A47" s="1" t="s">
        <v>91</v>
      </c>
      <c r="F47" s="1" t="str">
        <f t="shared" si="1"/>
        <v>- - -</v>
      </c>
      <c r="G47" s="6"/>
    </row>
    <row r="48" spans="1:7" x14ac:dyDescent="0.2">
      <c r="A48" s="3" t="s">
        <v>169</v>
      </c>
      <c r="B48" s="2" t="str">
        <f>_xlfn.BASE(C48,16)</f>
        <v>30</v>
      </c>
      <c r="C48" s="2">
        <f>CODE(A48)</f>
        <v>48</v>
      </c>
      <c r="E48" s="1" t="str">
        <f>A48</f>
        <v>0</v>
      </c>
      <c r="F48" s="1" t="str">
        <f t="shared" si="1"/>
        <v>0</v>
      </c>
      <c r="G48" s="6"/>
    </row>
    <row r="49" spans="1:7" x14ac:dyDescent="0.2">
      <c r="A49" s="3" t="s">
        <v>75</v>
      </c>
      <c r="B49" s="2" t="str">
        <f t="shared" ref="B49:B84" si="4">_xlfn.BASE(C49,16)</f>
        <v>31</v>
      </c>
      <c r="C49" s="2">
        <f t="shared" ref="C49:C59" si="5">CODE(A49)</f>
        <v>49</v>
      </c>
      <c r="E49" s="1" t="str">
        <f t="shared" ref="E49:E83" si="6">A49</f>
        <v>1</v>
      </c>
      <c r="F49" s="1" t="str">
        <f t="shared" si="1"/>
        <v>1</v>
      </c>
      <c r="G49" s="6"/>
    </row>
    <row r="50" spans="1:7" x14ac:dyDescent="0.2">
      <c r="A50" s="3" t="s">
        <v>79</v>
      </c>
      <c r="B50" s="2" t="str">
        <f t="shared" si="4"/>
        <v>32</v>
      </c>
      <c r="C50" s="2">
        <f t="shared" si="5"/>
        <v>50</v>
      </c>
      <c r="E50" s="1" t="str">
        <f t="shared" si="6"/>
        <v>2</v>
      </c>
      <c r="F50" s="1" t="str">
        <f t="shared" si="1"/>
        <v>2</v>
      </c>
      <c r="G50" s="6"/>
    </row>
    <row r="51" spans="1:7" x14ac:dyDescent="0.2">
      <c r="A51" s="3" t="s">
        <v>82</v>
      </c>
      <c r="B51" s="2" t="str">
        <f t="shared" si="4"/>
        <v>33</v>
      </c>
      <c r="C51" s="2">
        <f t="shared" si="5"/>
        <v>51</v>
      </c>
      <c r="E51" s="1" t="str">
        <f t="shared" si="6"/>
        <v>3</v>
      </c>
      <c r="F51" s="1" t="str">
        <f t="shared" si="1"/>
        <v>3</v>
      </c>
      <c r="G51" s="6"/>
    </row>
    <row r="52" spans="1:7" x14ac:dyDescent="0.2">
      <c r="A52" s="3" t="s">
        <v>85</v>
      </c>
      <c r="B52" s="2" t="str">
        <f t="shared" si="4"/>
        <v>34</v>
      </c>
      <c r="C52" s="2">
        <f t="shared" si="5"/>
        <v>52</v>
      </c>
      <c r="E52" s="1" t="str">
        <f t="shared" si="6"/>
        <v>4</v>
      </c>
      <c r="F52" s="1" t="str">
        <f t="shared" si="1"/>
        <v>4</v>
      </c>
      <c r="G52" s="6"/>
    </row>
    <row r="53" spans="1:7" x14ac:dyDescent="0.2">
      <c r="A53" s="3" t="s">
        <v>170</v>
      </c>
      <c r="B53" s="2" t="str">
        <f t="shared" si="4"/>
        <v>35</v>
      </c>
      <c r="C53" s="2">
        <f t="shared" si="5"/>
        <v>53</v>
      </c>
      <c r="E53" s="1" t="str">
        <f t="shared" si="6"/>
        <v>5</v>
      </c>
      <c r="F53" s="1" t="str">
        <f t="shared" si="1"/>
        <v>5</v>
      </c>
      <c r="G53" s="6"/>
    </row>
    <row r="54" spans="1:7" x14ac:dyDescent="0.2">
      <c r="A54" s="3" t="s">
        <v>171</v>
      </c>
      <c r="B54" s="2" t="str">
        <f t="shared" si="4"/>
        <v>36</v>
      </c>
      <c r="C54" s="2">
        <f t="shared" si="5"/>
        <v>54</v>
      </c>
      <c r="E54" s="1" t="str">
        <f t="shared" si="6"/>
        <v>6</v>
      </c>
      <c r="F54" s="1" t="str">
        <f t="shared" si="1"/>
        <v>6</v>
      </c>
      <c r="G54" s="6"/>
    </row>
    <row r="55" spans="1:7" x14ac:dyDescent="0.2">
      <c r="A55" s="3" t="s">
        <v>172</v>
      </c>
      <c r="B55" s="2" t="str">
        <f>_xlfn.BASE(C55,16)</f>
        <v>37</v>
      </c>
      <c r="C55" s="2">
        <f t="shared" si="5"/>
        <v>55</v>
      </c>
      <c r="E55" s="1" t="str">
        <f t="shared" si="6"/>
        <v>7</v>
      </c>
      <c r="F55" s="1" t="str">
        <f t="shared" si="1"/>
        <v>7</v>
      </c>
      <c r="G55" s="6"/>
    </row>
    <row r="56" spans="1:7" x14ac:dyDescent="0.2">
      <c r="A56" s="3" t="s">
        <v>93</v>
      </c>
      <c r="B56" s="2" t="str">
        <f t="shared" si="4"/>
        <v>38</v>
      </c>
      <c r="C56" s="2">
        <f t="shared" si="5"/>
        <v>56</v>
      </c>
      <c r="E56" s="1" t="str">
        <f t="shared" si="6"/>
        <v>8</v>
      </c>
      <c r="F56" s="1" t="str">
        <f t="shared" si="1"/>
        <v>8</v>
      </c>
      <c r="G56" s="6"/>
    </row>
    <row r="57" spans="1:7" x14ac:dyDescent="0.2">
      <c r="A57" s="3" t="s">
        <v>96</v>
      </c>
      <c r="B57" s="2" t="str">
        <f t="shared" si="4"/>
        <v>39</v>
      </c>
      <c r="C57" s="2">
        <f t="shared" si="5"/>
        <v>57</v>
      </c>
      <c r="E57" s="1" t="str">
        <f t="shared" si="6"/>
        <v>9</v>
      </c>
      <c r="F57" s="1" t="str">
        <f t="shared" si="1"/>
        <v>9</v>
      </c>
      <c r="G57" s="6"/>
    </row>
    <row r="58" spans="1:7" x14ac:dyDescent="0.2">
      <c r="A58" s="1" t="s">
        <v>91</v>
      </c>
      <c r="F58" s="1" t="str">
        <f t="shared" si="1"/>
        <v>- - -</v>
      </c>
      <c r="G58" s="6"/>
    </row>
    <row r="59" spans="1:7" x14ac:dyDescent="0.2">
      <c r="A59" s="1" t="s">
        <v>41</v>
      </c>
      <c r="B59" s="2" t="str">
        <f t="shared" si="4"/>
        <v>41</v>
      </c>
      <c r="C59" s="2">
        <f t="shared" si="5"/>
        <v>65</v>
      </c>
      <c r="E59" s="1" t="str">
        <f>A59</f>
        <v>A</v>
      </c>
      <c r="F59" s="1" t="str">
        <f t="shared" si="1"/>
        <v>A</v>
      </c>
      <c r="G59" s="6"/>
    </row>
    <row r="60" spans="1:7" x14ac:dyDescent="0.2">
      <c r="A60" s="1" t="s">
        <v>173</v>
      </c>
      <c r="B60" s="2" t="str">
        <f t="shared" si="4"/>
        <v>42</v>
      </c>
      <c r="C60" s="2">
        <f>C59+1</f>
        <v>66</v>
      </c>
      <c r="E60" s="1" t="str">
        <f t="shared" si="6"/>
        <v>B</v>
      </c>
      <c r="F60" s="1" t="str">
        <f t="shared" si="1"/>
        <v>B</v>
      </c>
      <c r="G60" s="6"/>
    </row>
    <row r="61" spans="1:7" x14ac:dyDescent="0.2">
      <c r="A61" s="1" t="s">
        <v>34</v>
      </c>
      <c r="B61" s="2" t="str">
        <f t="shared" si="4"/>
        <v>43</v>
      </c>
      <c r="C61" s="2">
        <f t="shared" ref="C61:C84" si="7">C60+1</f>
        <v>67</v>
      </c>
      <c r="E61" s="1" t="str">
        <f t="shared" si="6"/>
        <v>C</v>
      </c>
      <c r="F61" s="1" t="str">
        <f t="shared" si="1"/>
        <v>C</v>
      </c>
      <c r="G61" s="6"/>
    </row>
    <row r="62" spans="1:7" x14ac:dyDescent="0.2">
      <c r="A62" s="1" t="s">
        <v>52</v>
      </c>
      <c r="B62" s="2" t="str">
        <f t="shared" si="4"/>
        <v>44</v>
      </c>
      <c r="C62" s="2">
        <f t="shared" si="7"/>
        <v>68</v>
      </c>
      <c r="E62" s="1" t="str">
        <f t="shared" si="6"/>
        <v>D</v>
      </c>
      <c r="F62" s="1" t="str">
        <f t="shared" si="1"/>
        <v>D</v>
      </c>
      <c r="G62" s="6"/>
    </row>
    <row r="63" spans="1:7" x14ac:dyDescent="0.2">
      <c r="A63" s="1" t="s">
        <v>47</v>
      </c>
      <c r="B63" s="2" t="str">
        <f t="shared" si="4"/>
        <v>45</v>
      </c>
      <c r="C63" s="2">
        <f t="shared" si="7"/>
        <v>69</v>
      </c>
      <c r="E63" s="1" t="str">
        <f t="shared" si="6"/>
        <v>E</v>
      </c>
      <c r="F63" s="1" t="str">
        <f t="shared" si="1"/>
        <v>E</v>
      </c>
      <c r="G63" s="6"/>
    </row>
    <row r="64" spans="1:7" x14ac:dyDescent="0.2">
      <c r="A64" s="1" t="s">
        <v>33</v>
      </c>
      <c r="B64" s="2" t="str">
        <f t="shared" si="4"/>
        <v>46</v>
      </c>
      <c r="C64" s="2">
        <f t="shared" si="7"/>
        <v>70</v>
      </c>
      <c r="E64" s="1" t="str">
        <f t="shared" si="6"/>
        <v>F</v>
      </c>
      <c r="F64" s="1" t="str">
        <f t="shared" si="1"/>
        <v>F</v>
      </c>
      <c r="G64" s="6"/>
    </row>
    <row r="65" spans="1:7" x14ac:dyDescent="0.2">
      <c r="A65" s="1" t="s">
        <v>174</v>
      </c>
      <c r="B65" s="2" t="str">
        <f t="shared" si="4"/>
        <v>47</v>
      </c>
      <c r="C65" s="2">
        <f t="shared" si="7"/>
        <v>71</v>
      </c>
      <c r="E65" s="1" t="str">
        <f t="shared" si="6"/>
        <v>G</v>
      </c>
      <c r="F65" s="1" t="str">
        <f t="shared" si="1"/>
        <v>G</v>
      </c>
      <c r="G65" s="6"/>
    </row>
    <row r="66" spans="1:7" x14ac:dyDescent="0.2">
      <c r="A66" s="1" t="s">
        <v>35</v>
      </c>
      <c r="B66" s="2" t="str">
        <f t="shared" si="4"/>
        <v>48</v>
      </c>
      <c r="C66" s="2">
        <f t="shared" si="7"/>
        <v>72</v>
      </c>
      <c r="E66" s="1" t="str">
        <f t="shared" si="6"/>
        <v>H</v>
      </c>
      <c r="F66" s="1" t="str">
        <f t="shared" ref="F66:F129" si="8">IFERROR(CHAR(C66),"- - -")</f>
        <v>H</v>
      </c>
      <c r="G66" s="6"/>
    </row>
    <row r="67" spans="1:7" x14ac:dyDescent="0.2">
      <c r="A67" s="1" t="s">
        <v>48</v>
      </c>
      <c r="B67" s="2" t="str">
        <f t="shared" si="4"/>
        <v>49</v>
      </c>
      <c r="C67" s="2">
        <f t="shared" si="7"/>
        <v>73</v>
      </c>
      <c r="E67" s="1" t="str">
        <f t="shared" si="6"/>
        <v>I</v>
      </c>
      <c r="F67" s="1" t="str">
        <f t="shared" si="8"/>
        <v>I</v>
      </c>
      <c r="G67" s="6"/>
    </row>
    <row r="68" spans="1:7" x14ac:dyDescent="0.2">
      <c r="A68" s="1" t="s">
        <v>175</v>
      </c>
      <c r="B68" s="2" t="str">
        <f t="shared" si="4"/>
        <v>4A</v>
      </c>
      <c r="C68" s="2">
        <f t="shared" si="7"/>
        <v>74</v>
      </c>
      <c r="E68" s="1" t="str">
        <f t="shared" si="6"/>
        <v>J</v>
      </c>
      <c r="F68" s="1" t="str">
        <f t="shared" si="8"/>
        <v>J</v>
      </c>
      <c r="G68" s="6"/>
    </row>
    <row r="69" spans="1:7" x14ac:dyDescent="0.2">
      <c r="A69" s="1" t="s">
        <v>176</v>
      </c>
      <c r="B69" s="2" t="str">
        <f t="shared" si="4"/>
        <v>4B</v>
      </c>
      <c r="C69" s="2">
        <f t="shared" si="7"/>
        <v>75</v>
      </c>
      <c r="E69" s="1" t="str">
        <f t="shared" si="6"/>
        <v>K</v>
      </c>
      <c r="F69" s="1" t="str">
        <f t="shared" si="8"/>
        <v>K</v>
      </c>
      <c r="G69" s="6"/>
    </row>
    <row r="70" spans="1:7" x14ac:dyDescent="0.2">
      <c r="A70" s="1" t="s">
        <v>44</v>
      </c>
      <c r="B70" s="2" t="str">
        <f t="shared" si="4"/>
        <v>4C</v>
      </c>
      <c r="C70" s="2">
        <f t="shared" si="7"/>
        <v>76</v>
      </c>
      <c r="E70" s="1" t="str">
        <f t="shared" si="6"/>
        <v>L</v>
      </c>
      <c r="F70" s="1" t="str">
        <f t="shared" si="8"/>
        <v>L</v>
      </c>
      <c r="G70" s="6"/>
    </row>
    <row r="71" spans="1:7" x14ac:dyDescent="0.2">
      <c r="A71" s="1" t="s">
        <v>50</v>
      </c>
      <c r="B71" s="2" t="str">
        <f t="shared" si="4"/>
        <v>4D</v>
      </c>
      <c r="C71" s="2">
        <f t="shared" si="7"/>
        <v>77</v>
      </c>
      <c r="E71" s="1" t="str">
        <f t="shared" si="6"/>
        <v>M</v>
      </c>
      <c r="F71" s="1" t="str">
        <f t="shared" si="8"/>
        <v>M</v>
      </c>
      <c r="G71" s="6"/>
    </row>
    <row r="72" spans="1:7" x14ac:dyDescent="0.2">
      <c r="A72" s="1" t="s">
        <v>177</v>
      </c>
      <c r="B72" s="2" t="str">
        <f t="shared" si="4"/>
        <v>4E</v>
      </c>
      <c r="C72" s="2">
        <f t="shared" si="7"/>
        <v>78</v>
      </c>
      <c r="E72" s="1" t="str">
        <f t="shared" si="6"/>
        <v>N</v>
      </c>
      <c r="F72" s="1" t="str">
        <f t="shared" si="8"/>
        <v>N</v>
      </c>
      <c r="G72" s="6"/>
    </row>
    <row r="73" spans="1:7" x14ac:dyDescent="0.2">
      <c r="A73" s="1" t="s">
        <v>37</v>
      </c>
      <c r="B73" s="2" t="str">
        <f t="shared" si="4"/>
        <v>4F</v>
      </c>
      <c r="C73" s="2">
        <f t="shared" si="7"/>
        <v>79</v>
      </c>
      <c r="E73" s="1" t="str">
        <f t="shared" si="6"/>
        <v>O</v>
      </c>
      <c r="F73" s="1" t="str">
        <f t="shared" si="8"/>
        <v>O</v>
      </c>
      <c r="G73" s="6"/>
    </row>
    <row r="74" spans="1:7" x14ac:dyDescent="0.2">
      <c r="A74" s="1" t="s">
        <v>178</v>
      </c>
      <c r="B74" s="2" t="str">
        <f t="shared" si="4"/>
        <v>50</v>
      </c>
      <c r="C74" s="2">
        <f t="shared" si="7"/>
        <v>80</v>
      </c>
      <c r="E74" s="1" t="str">
        <f t="shared" si="6"/>
        <v>P</v>
      </c>
      <c r="F74" s="1" t="str">
        <f t="shared" si="8"/>
        <v>P</v>
      </c>
      <c r="G74" s="6"/>
    </row>
    <row r="75" spans="1:7" x14ac:dyDescent="0.2">
      <c r="A75" s="1" t="s">
        <v>179</v>
      </c>
      <c r="B75" s="2" t="str">
        <f t="shared" si="4"/>
        <v>51</v>
      </c>
      <c r="C75" s="2">
        <f t="shared" si="7"/>
        <v>81</v>
      </c>
      <c r="E75" s="1" t="str">
        <f t="shared" si="6"/>
        <v>Q</v>
      </c>
      <c r="F75" s="1" t="str">
        <f t="shared" si="8"/>
        <v>Q</v>
      </c>
      <c r="G75" s="6"/>
    </row>
    <row r="76" spans="1:7" x14ac:dyDescent="0.2">
      <c r="A76" s="1" t="s">
        <v>180</v>
      </c>
      <c r="B76" s="2" t="str">
        <f t="shared" si="4"/>
        <v>52</v>
      </c>
      <c r="C76" s="2">
        <f t="shared" si="7"/>
        <v>82</v>
      </c>
      <c r="E76" s="1" t="str">
        <f t="shared" si="6"/>
        <v>R</v>
      </c>
      <c r="F76" s="1" t="str">
        <f t="shared" si="8"/>
        <v>R</v>
      </c>
      <c r="G76" s="6"/>
    </row>
    <row r="77" spans="1:7" x14ac:dyDescent="0.2">
      <c r="A77" s="1" t="s">
        <v>49</v>
      </c>
      <c r="B77" s="2" t="str">
        <f t="shared" si="4"/>
        <v>53</v>
      </c>
      <c r="C77" s="2">
        <f t="shared" si="7"/>
        <v>83</v>
      </c>
      <c r="E77" s="1" t="str">
        <f t="shared" si="6"/>
        <v>S</v>
      </c>
      <c r="F77" s="1" t="str">
        <f t="shared" si="8"/>
        <v>S</v>
      </c>
      <c r="G77" s="6"/>
    </row>
    <row r="78" spans="1:7" x14ac:dyDescent="0.2">
      <c r="A78" s="1" t="s">
        <v>181</v>
      </c>
      <c r="B78" s="2" t="str">
        <f t="shared" si="4"/>
        <v>54</v>
      </c>
      <c r="C78" s="2">
        <f t="shared" si="7"/>
        <v>84</v>
      </c>
      <c r="E78" s="1" t="str">
        <f t="shared" si="6"/>
        <v>T</v>
      </c>
      <c r="F78" s="1" t="str">
        <f t="shared" si="8"/>
        <v>T</v>
      </c>
      <c r="G78" s="6"/>
    </row>
    <row r="79" spans="1:7" x14ac:dyDescent="0.2">
      <c r="A79" s="1" t="s">
        <v>182</v>
      </c>
      <c r="B79" s="2" t="str">
        <f t="shared" si="4"/>
        <v>55</v>
      </c>
      <c r="C79" s="2">
        <f t="shared" si="7"/>
        <v>85</v>
      </c>
      <c r="E79" s="1" t="str">
        <f t="shared" si="6"/>
        <v>U</v>
      </c>
      <c r="F79" s="1" t="str">
        <f t="shared" si="8"/>
        <v>U</v>
      </c>
      <c r="G79" s="6"/>
    </row>
    <row r="80" spans="1:7" x14ac:dyDescent="0.2">
      <c r="A80" s="1" t="s">
        <v>40</v>
      </c>
      <c r="B80" s="2" t="str">
        <f t="shared" si="4"/>
        <v>56</v>
      </c>
      <c r="C80" s="2">
        <f t="shared" si="7"/>
        <v>86</v>
      </c>
      <c r="E80" s="1" t="str">
        <f t="shared" si="6"/>
        <v>V</v>
      </c>
      <c r="F80" s="1" t="str">
        <f t="shared" si="8"/>
        <v>V</v>
      </c>
      <c r="G80" s="6"/>
    </row>
    <row r="81" spans="1:7" x14ac:dyDescent="0.2">
      <c r="A81" s="1" t="s">
        <v>43</v>
      </c>
      <c r="B81" s="2" t="str">
        <f t="shared" si="4"/>
        <v>57</v>
      </c>
      <c r="C81" s="2">
        <f t="shared" si="7"/>
        <v>87</v>
      </c>
      <c r="E81" s="1" t="str">
        <f t="shared" si="6"/>
        <v>W</v>
      </c>
      <c r="F81" s="1" t="str">
        <f t="shared" si="8"/>
        <v>W</v>
      </c>
      <c r="G81" s="6"/>
    </row>
    <row r="82" spans="1:7" x14ac:dyDescent="0.2">
      <c r="A82" s="1" t="s">
        <v>183</v>
      </c>
      <c r="B82" s="2" t="str">
        <f t="shared" si="4"/>
        <v>58</v>
      </c>
      <c r="C82" s="2">
        <f t="shared" si="7"/>
        <v>88</v>
      </c>
      <c r="E82" s="1" t="str">
        <f t="shared" si="6"/>
        <v>X</v>
      </c>
      <c r="F82" s="1" t="str">
        <f t="shared" si="8"/>
        <v>X</v>
      </c>
      <c r="G82" s="6"/>
    </row>
    <row r="83" spans="1:7" x14ac:dyDescent="0.2">
      <c r="A83" s="1" t="s">
        <v>184</v>
      </c>
      <c r="B83" s="2" t="str">
        <f t="shared" si="4"/>
        <v>59</v>
      </c>
      <c r="C83" s="2">
        <f t="shared" si="7"/>
        <v>89</v>
      </c>
      <c r="E83" s="1" t="str">
        <f t="shared" si="6"/>
        <v>Y</v>
      </c>
      <c r="F83" s="1" t="str">
        <f t="shared" si="8"/>
        <v>Y</v>
      </c>
      <c r="G83" s="6"/>
    </row>
    <row r="84" spans="1:7" x14ac:dyDescent="0.2">
      <c r="A84" s="1" t="s">
        <v>185</v>
      </c>
      <c r="B84" s="2" t="str">
        <f t="shared" si="4"/>
        <v>5A</v>
      </c>
      <c r="C84" s="2">
        <f t="shared" si="7"/>
        <v>90</v>
      </c>
      <c r="E84" s="1" t="str">
        <f>A84</f>
        <v>Z</v>
      </c>
      <c r="F84" s="1" t="str">
        <f t="shared" si="8"/>
        <v>Z</v>
      </c>
      <c r="G84" s="6"/>
    </row>
    <row r="85" spans="1:7" x14ac:dyDescent="0.2">
      <c r="A85" s="1" t="s">
        <v>91</v>
      </c>
      <c r="F85" s="1" t="str">
        <f t="shared" si="8"/>
        <v>- - -</v>
      </c>
      <c r="G85" s="6"/>
    </row>
    <row r="86" spans="1:7" x14ac:dyDescent="0.2">
      <c r="A86" s="1" t="s">
        <v>186</v>
      </c>
      <c r="B86" s="2" t="s">
        <v>187</v>
      </c>
      <c r="C86" s="2">
        <f>HEX2DEC(B86)</f>
        <v>91</v>
      </c>
      <c r="D86" s="1" t="s">
        <v>188</v>
      </c>
      <c r="F86" s="1" t="str">
        <f t="shared" si="8"/>
        <v>[</v>
      </c>
      <c r="G86" s="6"/>
    </row>
    <row r="87" spans="1:7" x14ac:dyDescent="0.2">
      <c r="A87" s="1" t="s">
        <v>189</v>
      </c>
      <c r="B87" s="2" t="s">
        <v>190</v>
      </c>
      <c r="C87" s="2">
        <f>HEX2DEC(B87)</f>
        <v>92</v>
      </c>
      <c r="D87" s="1" t="s">
        <v>191</v>
      </c>
      <c r="F87" s="1" t="str">
        <f t="shared" si="8"/>
        <v>\</v>
      </c>
      <c r="G87" s="6"/>
    </row>
    <row r="88" spans="1:7" x14ac:dyDescent="0.2">
      <c r="A88" s="1" t="s">
        <v>192</v>
      </c>
      <c r="B88" s="2" t="s">
        <v>193</v>
      </c>
      <c r="C88" s="2">
        <f>HEX2DEC(B88)</f>
        <v>93</v>
      </c>
      <c r="D88" s="1" t="s">
        <v>194</v>
      </c>
      <c r="F88" s="1" t="str">
        <f t="shared" si="8"/>
        <v>]</v>
      </c>
      <c r="G88" s="6"/>
    </row>
    <row r="89" spans="1:7" x14ac:dyDescent="0.2">
      <c r="A89" s="1" t="s">
        <v>195</v>
      </c>
      <c r="B89" s="2" t="s">
        <v>196</v>
      </c>
      <c r="C89" s="2">
        <f>HEX2DEC(B89)</f>
        <v>95</v>
      </c>
      <c r="D89" s="1" t="s">
        <v>197</v>
      </c>
      <c r="F89" s="1" t="str">
        <f t="shared" si="8"/>
        <v>_</v>
      </c>
      <c r="G89" s="6"/>
    </row>
    <row r="90" spans="1:7" x14ac:dyDescent="0.2">
      <c r="A90" s="1" t="s">
        <v>91</v>
      </c>
      <c r="F90" s="1" t="str">
        <f t="shared" si="8"/>
        <v>- - -</v>
      </c>
      <c r="G90" s="6"/>
    </row>
    <row r="91" spans="1:7" x14ac:dyDescent="0.2">
      <c r="A91" s="1" t="s">
        <v>198</v>
      </c>
      <c r="B91" s="2" t="s">
        <v>187</v>
      </c>
      <c r="C91" s="2">
        <f>HEX2DEC(B91)</f>
        <v>91</v>
      </c>
      <c r="F91" s="1" t="str">
        <f t="shared" si="8"/>
        <v>[</v>
      </c>
      <c r="G91" s="6"/>
    </row>
    <row r="92" spans="1:7" x14ac:dyDescent="0.2">
      <c r="A92" s="1" t="s">
        <v>199</v>
      </c>
      <c r="B92" s="2" t="s">
        <v>187</v>
      </c>
      <c r="C92" s="2">
        <f>HEX2DEC(B92)</f>
        <v>91</v>
      </c>
      <c r="F92" s="1" t="str">
        <f t="shared" si="8"/>
        <v>[</v>
      </c>
      <c r="G92" s="6"/>
    </row>
    <row r="93" spans="1:7" x14ac:dyDescent="0.2">
      <c r="A93" s="1" t="s">
        <v>200</v>
      </c>
      <c r="B93" s="2" t="s">
        <v>193</v>
      </c>
      <c r="C93" s="2">
        <f>HEX2DEC(B93)</f>
        <v>93</v>
      </c>
      <c r="F93" s="1" t="str">
        <f t="shared" si="8"/>
        <v>]</v>
      </c>
      <c r="G93" s="6"/>
    </row>
    <row r="94" spans="1:7" x14ac:dyDescent="0.2">
      <c r="A94" s="1" t="s">
        <v>91</v>
      </c>
      <c r="F94" s="1" t="str">
        <f t="shared" si="8"/>
        <v>- - -</v>
      </c>
      <c r="G94" s="6"/>
    </row>
    <row r="95" spans="1:7" x14ac:dyDescent="0.2">
      <c r="A95" s="1" t="s">
        <v>201</v>
      </c>
      <c r="B95" s="2" t="s">
        <v>202</v>
      </c>
      <c r="C95" s="2">
        <f t="shared" ref="C95:C140" si="9">HEX2DEC(B95)</f>
        <v>96</v>
      </c>
      <c r="E95" s="1">
        <v>0</v>
      </c>
      <c r="F95" s="1" t="str">
        <f t="shared" si="8"/>
        <v>`</v>
      </c>
      <c r="G95" s="6"/>
    </row>
    <row r="96" spans="1:7" x14ac:dyDescent="0.2">
      <c r="A96" s="1" t="s">
        <v>203</v>
      </c>
      <c r="B96" s="2" t="s">
        <v>204</v>
      </c>
      <c r="C96" s="2">
        <f t="shared" si="9"/>
        <v>97</v>
      </c>
      <c r="E96" s="1">
        <v>1</v>
      </c>
      <c r="F96" s="1" t="str">
        <f t="shared" si="8"/>
        <v>a</v>
      </c>
      <c r="G96" s="6"/>
    </row>
    <row r="97" spans="1:7" x14ac:dyDescent="0.2">
      <c r="A97" s="1" t="s">
        <v>205</v>
      </c>
      <c r="B97" s="2" t="s">
        <v>206</v>
      </c>
      <c r="C97" s="2">
        <f t="shared" si="9"/>
        <v>98</v>
      </c>
      <c r="E97" s="1">
        <v>2</v>
      </c>
      <c r="F97" s="1" t="str">
        <f t="shared" si="8"/>
        <v>b</v>
      </c>
      <c r="G97" s="6"/>
    </row>
    <row r="98" spans="1:7" x14ac:dyDescent="0.2">
      <c r="A98" s="1" t="s">
        <v>207</v>
      </c>
      <c r="B98" s="2" t="s">
        <v>208</v>
      </c>
      <c r="C98" s="2">
        <f t="shared" si="9"/>
        <v>99</v>
      </c>
      <c r="E98" s="1">
        <v>3</v>
      </c>
      <c r="F98" s="1" t="str">
        <f t="shared" si="8"/>
        <v>c</v>
      </c>
      <c r="G98" s="6"/>
    </row>
    <row r="99" spans="1:7" x14ac:dyDescent="0.2">
      <c r="A99" s="1" t="s">
        <v>209</v>
      </c>
      <c r="B99" s="2" t="s">
        <v>210</v>
      </c>
      <c r="C99" s="2">
        <f t="shared" si="9"/>
        <v>100</v>
      </c>
      <c r="E99" s="1">
        <v>4</v>
      </c>
      <c r="F99" s="1" t="str">
        <f t="shared" si="8"/>
        <v>d</v>
      </c>
      <c r="G99" s="6"/>
    </row>
    <row r="100" spans="1:7" x14ac:dyDescent="0.2">
      <c r="A100" s="1" t="s">
        <v>211</v>
      </c>
      <c r="B100" s="2" t="s">
        <v>212</v>
      </c>
      <c r="C100" s="2">
        <f t="shared" si="9"/>
        <v>101</v>
      </c>
      <c r="E100" s="1">
        <v>5</v>
      </c>
      <c r="F100" s="1" t="str">
        <f t="shared" si="8"/>
        <v>e</v>
      </c>
      <c r="G100" s="6"/>
    </row>
    <row r="101" spans="1:7" x14ac:dyDescent="0.2">
      <c r="A101" s="1" t="s">
        <v>213</v>
      </c>
      <c r="B101" s="2" t="s">
        <v>214</v>
      </c>
      <c r="C101" s="2">
        <f t="shared" si="9"/>
        <v>102</v>
      </c>
      <c r="E101" s="1">
        <v>6</v>
      </c>
      <c r="F101" s="1" t="str">
        <f t="shared" si="8"/>
        <v>f</v>
      </c>
      <c r="G101" s="6"/>
    </row>
    <row r="102" spans="1:7" x14ac:dyDescent="0.2">
      <c r="A102" s="1" t="s">
        <v>215</v>
      </c>
      <c r="B102" s="2" t="s">
        <v>216</v>
      </c>
      <c r="C102" s="2">
        <f t="shared" si="9"/>
        <v>103</v>
      </c>
      <c r="E102" s="1">
        <v>7</v>
      </c>
      <c r="F102" s="1" t="str">
        <f t="shared" si="8"/>
        <v>g</v>
      </c>
      <c r="G102" s="6"/>
    </row>
    <row r="103" spans="1:7" x14ac:dyDescent="0.2">
      <c r="A103" s="1" t="s">
        <v>217</v>
      </c>
      <c r="B103" s="2" t="s">
        <v>218</v>
      </c>
      <c r="C103" s="2">
        <f t="shared" si="9"/>
        <v>104</v>
      </c>
      <c r="E103" s="1">
        <v>8</v>
      </c>
      <c r="F103" s="1" t="str">
        <f t="shared" si="8"/>
        <v>h</v>
      </c>
      <c r="G103" s="6"/>
    </row>
    <row r="104" spans="1:7" x14ac:dyDescent="0.2">
      <c r="A104" s="1" t="s">
        <v>219</v>
      </c>
      <c r="B104" s="2" t="s">
        <v>220</v>
      </c>
      <c r="C104" s="2">
        <f t="shared" si="9"/>
        <v>105</v>
      </c>
      <c r="E104" s="1">
        <v>9</v>
      </c>
      <c r="F104" s="1" t="str">
        <f t="shared" si="8"/>
        <v>i</v>
      </c>
      <c r="G104" s="6"/>
    </row>
    <row r="105" spans="1:7" x14ac:dyDescent="0.2">
      <c r="A105" s="1" t="s">
        <v>221</v>
      </c>
      <c r="B105" s="2" t="s">
        <v>222</v>
      </c>
      <c r="C105" s="2">
        <f t="shared" si="9"/>
        <v>106</v>
      </c>
      <c r="E105" s="1" t="s">
        <v>223</v>
      </c>
      <c r="F105" s="1" t="str">
        <f t="shared" si="8"/>
        <v>j</v>
      </c>
      <c r="G105" s="6"/>
    </row>
    <row r="106" spans="1:7" x14ac:dyDescent="0.2">
      <c r="A106" s="1" t="s">
        <v>224</v>
      </c>
      <c r="B106" s="2" t="s">
        <v>225</v>
      </c>
      <c r="C106" s="2">
        <f t="shared" si="9"/>
        <v>107</v>
      </c>
      <c r="E106" s="1" t="s">
        <v>226</v>
      </c>
      <c r="F106" s="1" t="str">
        <f t="shared" si="8"/>
        <v>k</v>
      </c>
      <c r="G106" s="6"/>
    </row>
    <row r="107" spans="1:7" x14ac:dyDescent="0.2">
      <c r="A107" s="1" t="s">
        <v>227</v>
      </c>
      <c r="B107" s="2" t="s">
        <v>228</v>
      </c>
      <c r="C107" s="2">
        <f t="shared" si="9"/>
        <v>108</v>
      </c>
      <c r="E107" s="1" t="s">
        <v>229</v>
      </c>
      <c r="F107" s="1" t="str">
        <f t="shared" si="8"/>
        <v>l</v>
      </c>
      <c r="G107" s="6"/>
    </row>
    <row r="108" spans="1:7" x14ac:dyDescent="0.2">
      <c r="A108" s="1" t="s">
        <v>230</v>
      </c>
      <c r="B108" s="2" t="s">
        <v>231</v>
      </c>
      <c r="C108" s="2">
        <f t="shared" si="9"/>
        <v>109</v>
      </c>
      <c r="E108" s="1" t="s">
        <v>232</v>
      </c>
      <c r="F108" s="1" t="str">
        <f t="shared" si="8"/>
        <v>m</v>
      </c>
      <c r="G108" s="6"/>
    </row>
    <row r="109" spans="1:7" x14ac:dyDescent="0.2">
      <c r="A109" s="1" t="s">
        <v>233</v>
      </c>
      <c r="B109" s="2" t="s">
        <v>234</v>
      </c>
      <c r="C109" s="2">
        <f t="shared" si="9"/>
        <v>110</v>
      </c>
      <c r="E109" s="1" t="s">
        <v>235</v>
      </c>
      <c r="F109" s="1" t="str">
        <f t="shared" si="8"/>
        <v>n</v>
      </c>
      <c r="G109" s="6"/>
    </row>
    <row r="110" spans="1:7" x14ac:dyDescent="0.2">
      <c r="A110" s="1" t="s">
        <v>236</v>
      </c>
      <c r="B110" s="2" t="s">
        <v>237</v>
      </c>
      <c r="C110" s="2">
        <f t="shared" si="9"/>
        <v>111</v>
      </c>
      <c r="E110" s="1" t="s">
        <v>238</v>
      </c>
      <c r="F110" s="1" t="str">
        <f t="shared" si="8"/>
        <v>o</v>
      </c>
      <c r="G110" s="6"/>
    </row>
    <row r="111" spans="1:7" x14ac:dyDescent="0.2">
      <c r="A111" s="1" t="s">
        <v>223</v>
      </c>
      <c r="B111" s="2" t="s">
        <v>222</v>
      </c>
      <c r="C111" s="2">
        <f t="shared" si="9"/>
        <v>106</v>
      </c>
      <c r="E111" s="1" t="s">
        <v>223</v>
      </c>
      <c r="F111" s="1" t="str">
        <f t="shared" si="8"/>
        <v>j</v>
      </c>
      <c r="G111" s="6"/>
    </row>
    <row r="112" spans="1:7" x14ac:dyDescent="0.2">
      <c r="A112" s="4" t="s">
        <v>226</v>
      </c>
      <c r="B112" s="2" t="s">
        <v>225</v>
      </c>
      <c r="C112" s="2">
        <f t="shared" si="9"/>
        <v>107</v>
      </c>
      <c r="E112" s="1" t="s">
        <v>226</v>
      </c>
      <c r="F112" s="1" t="str">
        <f t="shared" si="8"/>
        <v>k</v>
      </c>
      <c r="G112" s="6"/>
    </row>
    <row r="113" spans="1:7" x14ac:dyDescent="0.2">
      <c r="A113" s="1" t="s">
        <v>229</v>
      </c>
      <c r="B113" s="2" t="s">
        <v>228</v>
      </c>
      <c r="C113" s="2">
        <f t="shared" si="9"/>
        <v>108</v>
      </c>
      <c r="E113" s="1" t="s">
        <v>229</v>
      </c>
      <c r="F113" s="1" t="str">
        <f t="shared" si="8"/>
        <v>l</v>
      </c>
      <c r="G113" s="6"/>
    </row>
    <row r="114" spans="1:7" x14ac:dyDescent="0.2">
      <c r="A114" s="4" t="s">
        <v>232</v>
      </c>
      <c r="B114" s="2" t="s">
        <v>231</v>
      </c>
      <c r="C114" s="2">
        <f t="shared" si="9"/>
        <v>109</v>
      </c>
      <c r="E114" s="1" t="s">
        <v>232</v>
      </c>
      <c r="F114" s="1" t="str">
        <f t="shared" si="8"/>
        <v>m</v>
      </c>
      <c r="G114" s="6"/>
    </row>
    <row r="115" spans="1:7" x14ac:dyDescent="0.2">
      <c r="A115" s="4" t="s">
        <v>235</v>
      </c>
      <c r="B115" s="2" t="s">
        <v>234</v>
      </c>
      <c r="C115" s="2">
        <f t="shared" si="9"/>
        <v>110</v>
      </c>
      <c r="E115" s="1" t="s">
        <v>235</v>
      </c>
      <c r="F115" s="1" t="str">
        <f t="shared" si="8"/>
        <v>n</v>
      </c>
      <c r="G115" s="6"/>
    </row>
    <row r="116" spans="1:7" x14ac:dyDescent="0.2">
      <c r="A116" s="4" t="s">
        <v>238</v>
      </c>
      <c r="B116" s="2" t="s">
        <v>237</v>
      </c>
      <c r="C116" s="2">
        <f t="shared" si="9"/>
        <v>111</v>
      </c>
      <c r="E116" s="1" t="s">
        <v>238</v>
      </c>
      <c r="F116" s="1" t="str">
        <f t="shared" si="8"/>
        <v>o</v>
      </c>
      <c r="G116" s="6"/>
    </row>
    <row r="117" spans="1:7" x14ac:dyDescent="0.2">
      <c r="A117" s="1" t="s">
        <v>42</v>
      </c>
      <c r="B117" s="2" t="s">
        <v>239</v>
      </c>
      <c r="C117" s="2">
        <f t="shared" si="9"/>
        <v>112</v>
      </c>
      <c r="E117" s="1" t="s">
        <v>240</v>
      </c>
      <c r="F117" s="1" t="str">
        <f t="shared" si="8"/>
        <v>p</v>
      </c>
      <c r="G117" s="6"/>
    </row>
    <row r="118" spans="1:7" x14ac:dyDescent="0.2">
      <c r="A118" s="1" t="s">
        <v>241</v>
      </c>
      <c r="B118" s="2" t="s">
        <v>242</v>
      </c>
      <c r="C118" s="2">
        <f t="shared" si="9"/>
        <v>113</v>
      </c>
      <c r="E118" s="1" t="s">
        <v>243</v>
      </c>
      <c r="F118" s="1" t="str">
        <f t="shared" si="8"/>
        <v>q</v>
      </c>
      <c r="G118" s="6"/>
    </row>
    <row r="119" spans="1:7" x14ac:dyDescent="0.2">
      <c r="A119" s="1" t="s">
        <v>244</v>
      </c>
      <c r="B119" s="2" t="s">
        <v>245</v>
      </c>
      <c r="C119" s="2">
        <f t="shared" si="9"/>
        <v>114</v>
      </c>
      <c r="E119" s="1" t="s">
        <v>246</v>
      </c>
      <c r="F119" s="1" t="str">
        <f t="shared" si="8"/>
        <v>r</v>
      </c>
      <c r="G119" s="6"/>
    </row>
    <row r="120" spans="1:7" x14ac:dyDescent="0.2">
      <c r="A120" s="1" t="s">
        <v>247</v>
      </c>
      <c r="B120" s="2" t="s">
        <v>248</v>
      </c>
      <c r="C120" s="2">
        <f t="shared" si="9"/>
        <v>115</v>
      </c>
      <c r="E120" s="1" t="s">
        <v>249</v>
      </c>
      <c r="F120" s="1" t="str">
        <f t="shared" si="8"/>
        <v>s</v>
      </c>
      <c r="G120" s="6"/>
    </row>
    <row r="121" spans="1:7" x14ac:dyDescent="0.2">
      <c r="A121" s="1" t="s">
        <v>250</v>
      </c>
      <c r="B121" s="2" t="s">
        <v>251</v>
      </c>
      <c r="C121" s="2">
        <f t="shared" si="9"/>
        <v>116</v>
      </c>
      <c r="E121" s="1" t="s">
        <v>252</v>
      </c>
      <c r="F121" s="1" t="str">
        <f t="shared" si="8"/>
        <v>t</v>
      </c>
      <c r="G121" s="6"/>
    </row>
    <row r="122" spans="1:7" x14ac:dyDescent="0.2">
      <c r="A122" s="1" t="s">
        <v>253</v>
      </c>
      <c r="B122" s="2" t="s">
        <v>254</v>
      </c>
      <c r="C122" s="2">
        <f t="shared" si="9"/>
        <v>117</v>
      </c>
      <c r="E122" s="1" t="s">
        <v>255</v>
      </c>
      <c r="F122" s="1" t="str">
        <f t="shared" si="8"/>
        <v>u</v>
      </c>
      <c r="G122" s="6"/>
    </row>
    <row r="123" spans="1:7" x14ac:dyDescent="0.2">
      <c r="A123" s="1" t="s">
        <v>256</v>
      </c>
      <c r="B123" s="2" t="s">
        <v>257</v>
      </c>
      <c r="C123" s="2">
        <f t="shared" si="9"/>
        <v>118</v>
      </c>
      <c r="E123" s="1" t="s">
        <v>258</v>
      </c>
      <c r="F123" s="1" t="str">
        <f t="shared" si="8"/>
        <v>v</v>
      </c>
      <c r="G123" s="6"/>
    </row>
    <row r="124" spans="1:7" x14ac:dyDescent="0.2">
      <c r="A124" s="1" t="s">
        <v>259</v>
      </c>
      <c r="B124" s="2" t="s">
        <v>260</v>
      </c>
      <c r="C124" s="2">
        <f t="shared" si="9"/>
        <v>119</v>
      </c>
      <c r="E124" s="1" t="s">
        <v>261</v>
      </c>
      <c r="F124" s="1" t="str">
        <f t="shared" si="8"/>
        <v>w</v>
      </c>
      <c r="G124" s="6"/>
    </row>
    <row r="125" spans="1:7" x14ac:dyDescent="0.2">
      <c r="A125" s="1" t="s">
        <v>262</v>
      </c>
      <c r="B125" s="2" t="s">
        <v>263</v>
      </c>
      <c r="C125" s="2">
        <f t="shared" si="9"/>
        <v>120</v>
      </c>
      <c r="E125" s="1" t="s">
        <v>264</v>
      </c>
      <c r="F125" s="1" t="str">
        <f t="shared" si="8"/>
        <v>x</v>
      </c>
      <c r="G125" s="6"/>
    </row>
    <row r="126" spans="1:7" x14ac:dyDescent="0.2">
      <c r="A126" s="1" t="s">
        <v>265</v>
      </c>
      <c r="B126" s="2" t="s">
        <v>266</v>
      </c>
      <c r="C126" s="2">
        <f t="shared" si="9"/>
        <v>121</v>
      </c>
      <c r="E126" s="1" t="s">
        <v>267</v>
      </c>
      <c r="F126" s="1" t="str">
        <f t="shared" si="8"/>
        <v>y</v>
      </c>
      <c r="G126" s="6"/>
    </row>
    <row r="127" spans="1:7" x14ac:dyDescent="0.2">
      <c r="A127" s="1" t="s">
        <v>268</v>
      </c>
      <c r="B127" s="2" t="s">
        <v>269</v>
      </c>
      <c r="C127" s="2">
        <f t="shared" si="9"/>
        <v>122</v>
      </c>
      <c r="E127" s="1" t="s">
        <v>270</v>
      </c>
      <c r="F127" s="1" t="str">
        <f t="shared" si="8"/>
        <v>z</v>
      </c>
      <c r="G127" s="6"/>
    </row>
    <row r="128" spans="1:7" x14ac:dyDescent="0.2">
      <c r="A128" s="1" t="s">
        <v>271</v>
      </c>
      <c r="B128" s="2" t="s">
        <v>272</v>
      </c>
      <c r="C128" s="2">
        <f t="shared" si="9"/>
        <v>123</v>
      </c>
      <c r="E128" s="1" t="s">
        <v>273</v>
      </c>
      <c r="F128" s="1" t="str">
        <f t="shared" si="8"/>
        <v>{</v>
      </c>
      <c r="G128" s="6"/>
    </row>
    <row r="129" spans="1:7" x14ac:dyDescent="0.2">
      <c r="A129" s="1" t="s">
        <v>274</v>
      </c>
      <c r="B129" s="2" t="s">
        <v>275</v>
      </c>
      <c r="C129" s="2">
        <f t="shared" si="9"/>
        <v>124</v>
      </c>
      <c r="E129" s="1" t="s">
        <v>276</v>
      </c>
      <c r="F129" s="1" t="str">
        <f t="shared" si="8"/>
        <v>|</v>
      </c>
      <c r="G129" s="6"/>
    </row>
    <row r="130" spans="1:7" x14ac:dyDescent="0.2">
      <c r="A130" s="1" t="s">
        <v>277</v>
      </c>
      <c r="B130" s="2" t="s">
        <v>278</v>
      </c>
      <c r="C130" s="2">
        <f t="shared" si="9"/>
        <v>125</v>
      </c>
      <c r="E130" s="1" t="s">
        <v>279</v>
      </c>
      <c r="F130" s="1" t="str">
        <f t="shared" ref="F130:F193" si="10">IFERROR(CHAR(C130),"- - -")</f>
        <v>}</v>
      </c>
      <c r="G130" s="6"/>
    </row>
    <row r="131" spans="1:7" x14ac:dyDescent="0.2">
      <c r="A131" s="1" t="s">
        <v>280</v>
      </c>
      <c r="B131" s="2" t="s">
        <v>281</v>
      </c>
      <c r="C131" s="2">
        <f t="shared" si="9"/>
        <v>126</v>
      </c>
      <c r="E131" s="1" t="s">
        <v>282</v>
      </c>
      <c r="F131" s="1" t="str">
        <f t="shared" si="10"/>
        <v>~</v>
      </c>
      <c r="G131" s="6"/>
    </row>
    <row r="132" spans="1:7" x14ac:dyDescent="0.2">
      <c r="A132" s="1" t="s">
        <v>283</v>
      </c>
      <c r="B132" s="2" t="s">
        <v>284</v>
      </c>
      <c r="C132" s="2">
        <f t="shared" si="9"/>
        <v>127</v>
      </c>
      <c r="F132" s="1" t="str">
        <f t="shared" si="10"/>
        <v></v>
      </c>
      <c r="G132" s="6"/>
    </row>
    <row r="133" spans="1:7" x14ac:dyDescent="0.2">
      <c r="A133" s="1" t="s">
        <v>285</v>
      </c>
      <c r="B133" s="2" t="s">
        <v>286</v>
      </c>
      <c r="C133" s="2">
        <f t="shared" si="9"/>
        <v>128</v>
      </c>
      <c r="F133" s="1" t="str">
        <f t="shared" si="10"/>
        <v>€</v>
      </c>
      <c r="G133" s="6"/>
    </row>
    <row r="134" spans="1:7" x14ac:dyDescent="0.2">
      <c r="A134" s="1" t="s">
        <v>287</v>
      </c>
      <c r="B134" s="2" t="s">
        <v>288</v>
      </c>
      <c r="C134" s="2">
        <f t="shared" si="9"/>
        <v>129</v>
      </c>
      <c r="F134" s="1" t="str">
        <f t="shared" si="10"/>
        <v></v>
      </c>
      <c r="G134" s="6"/>
    </row>
    <row r="135" spans="1:7" x14ac:dyDescent="0.2">
      <c r="A135" s="1" t="s">
        <v>289</v>
      </c>
      <c r="B135" s="2" t="s">
        <v>290</v>
      </c>
      <c r="C135" s="2">
        <f t="shared" si="9"/>
        <v>130</v>
      </c>
      <c r="F135" s="1" t="str">
        <f t="shared" si="10"/>
        <v>‚</v>
      </c>
      <c r="G135" s="6"/>
    </row>
    <row r="136" spans="1:7" x14ac:dyDescent="0.2">
      <c r="A136" s="1" t="s">
        <v>291</v>
      </c>
      <c r="B136" s="2" t="s">
        <v>292</v>
      </c>
      <c r="C136" s="2">
        <f t="shared" si="9"/>
        <v>131</v>
      </c>
      <c r="F136" s="1" t="str">
        <f t="shared" si="10"/>
        <v>ƒ</v>
      </c>
      <c r="G136" s="6"/>
    </row>
    <row r="137" spans="1:7" x14ac:dyDescent="0.2">
      <c r="A137" s="1" t="s">
        <v>293</v>
      </c>
      <c r="B137" s="2" t="s">
        <v>294</v>
      </c>
      <c r="C137" s="2">
        <f t="shared" si="9"/>
        <v>132</v>
      </c>
      <c r="F137" s="1" t="str">
        <f t="shared" si="10"/>
        <v>„</v>
      </c>
      <c r="G137" s="6"/>
    </row>
    <row r="138" spans="1:7" x14ac:dyDescent="0.2">
      <c r="A138" s="1" t="s">
        <v>295</v>
      </c>
      <c r="B138" s="2" t="s">
        <v>296</v>
      </c>
      <c r="C138" s="2">
        <f t="shared" si="9"/>
        <v>133</v>
      </c>
      <c r="F138" s="1" t="str">
        <f t="shared" si="10"/>
        <v>…</v>
      </c>
      <c r="G138" s="6"/>
    </row>
    <row r="139" spans="1:7" x14ac:dyDescent="0.2">
      <c r="A139" s="1" t="s">
        <v>297</v>
      </c>
      <c r="B139" s="2" t="s">
        <v>298</v>
      </c>
      <c r="C139" s="2">
        <f t="shared" si="9"/>
        <v>134</v>
      </c>
      <c r="F139" s="1" t="str">
        <f t="shared" si="10"/>
        <v>†</v>
      </c>
      <c r="G139" s="6"/>
    </row>
    <row r="140" spans="1:7" x14ac:dyDescent="0.2">
      <c r="A140" s="1" t="s">
        <v>299</v>
      </c>
      <c r="B140" s="2" t="s">
        <v>300</v>
      </c>
      <c r="C140" s="2">
        <f t="shared" si="9"/>
        <v>135</v>
      </c>
      <c r="F140" s="1" t="str">
        <f t="shared" si="10"/>
        <v>‡</v>
      </c>
      <c r="G140" s="6"/>
    </row>
    <row r="141" spans="1:7" x14ac:dyDescent="0.2">
      <c r="A141" s="1" t="s">
        <v>91</v>
      </c>
      <c r="F141" s="1" t="str">
        <f t="shared" si="10"/>
        <v>- - -</v>
      </c>
      <c r="G141" s="6"/>
    </row>
    <row r="142" spans="1:7" x14ac:dyDescent="0.2">
      <c r="A142" s="1" t="s">
        <v>301</v>
      </c>
      <c r="B142" s="2" t="s">
        <v>302</v>
      </c>
      <c r="C142" s="2">
        <f>HEX2DEC(B142)</f>
        <v>144</v>
      </c>
      <c r="E142" s="1" t="s">
        <v>303</v>
      </c>
      <c r="F142" s="1" t="str">
        <f t="shared" si="10"/>
        <v></v>
      </c>
      <c r="G142" s="6"/>
    </row>
    <row r="143" spans="1:7" x14ac:dyDescent="0.2">
      <c r="A143" s="1" t="s">
        <v>304</v>
      </c>
      <c r="B143" s="2" t="s">
        <v>305</v>
      </c>
      <c r="C143" s="2">
        <f>HEX2DEC(B143)</f>
        <v>145</v>
      </c>
      <c r="E143" s="1" t="s">
        <v>306</v>
      </c>
      <c r="F143" s="1" t="str">
        <f t="shared" si="10"/>
        <v>‘</v>
      </c>
      <c r="G143" s="6"/>
    </row>
    <row r="144" spans="1:7" x14ac:dyDescent="0.2">
      <c r="A144" s="1" t="s">
        <v>307</v>
      </c>
      <c r="B144" s="2" t="s">
        <v>305</v>
      </c>
      <c r="C144" s="2">
        <f>HEX2DEC(B144)</f>
        <v>145</v>
      </c>
      <c r="E144" s="1" t="s">
        <v>306</v>
      </c>
      <c r="F144" s="1" t="str">
        <f t="shared" si="10"/>
        <v>‘</v>
      </c>
      <c r="G144" s="6"/>
    </row>
    <row r="145" spans="1:7" x14ac:dyDescent="0.2">
      <c r="A145" s="1" t="s">
        <v>91</v>
      </c>
      <c r="F145" s="1" t="str">
        <f t="shared" si="10"/>
        <v>- - -</v>
      </c>
      <c r="G145" s="6"/>
    </row>
    <row r="146" spans="1:7" x14ac:dyDescent="0.2">
      <c r="A146" s="1" t="s">
        <v>308</v>
      </c>
      <c r="B146" s="2" t="s">
        <v>309</v>
      </c>
      <c r="C146" s="2">
        <f t="shared" ref="C146:C159" si="11">HEX2DEC(B146)</f>
        <v>160</v>
      </c>
      <c r="D146" s="1" t="s">
        <v>310</v>
      </c>
      <c r="F146" s="1" t="str">
        <f t="shared" si="10"/>
        <v> </v>
      </c>
      <c r="G146" s="6"/>
    </row>
    <row r="147" spans="1:7" x14ac:dyDescent="0.2">
      <c r="A147" s="1" t="s">
        <v>311</v>
      </c>
      <c r="B147" s="2" t="s">
        <v>312</v>
      </c>
      <c r="C147" s="2">
        <f t="shared" si="11"/>
        <v>161</v>
      </c>
      <c r="D147" s="1" t="s">
        <v>313</v>
      </c>
      <c r="F147" s="1" t="str">
        <f t="shared" si="10"/>
        <v>¡</v>
      </c>
      <c r="G147" s="6"/>
    </row>
    <row r="148" spans="1:7" x14ac:dyDescent="0.2">
      <c r="A148" s="1" t="s">
        <v>314</v>
      </c>
      <c r="B148" s="2" t="s">
        <v>315</v>
      </c>
      <c r="C148" s="2">
        <f t="shared" si="11"/>
        <v>162</v>
      </c>
      <c r="D148" s="1" t="s">
        <v>316</v>
      </c>
      <c r="F148" s="1" t="str">
        <f t="shared" si="10"/>
        <v>¢</v>
      </c>
      <c r="G148" s="6"/>
    </row>
    <row r="149" spans="1:7" x14ac:dyDescent="0.2">
      <c r="A149" s="1" t="s">
        <v>317</v>
      </c>
      <c r="B149" s="2" t="s">
        <v>318</v>
      </c>
      <c r="C149" s="2">
        <f t="shared" si="11"/>
        <v>163</v>
      </c>
      <c r="D149" s="1" t="s">
        <v>319</v>
      </c>
      <c r="F149" s="1" t="str">
        <f t="shared" si="10"/>
        <v>£</v>
      </c>
      <c r="G149" s="6"/>
    </row>
    <row r="150" spans="1:7" x14ac:dyDescent="0.2">
      <c r="A150" s="1" t="s">
        <v>32</v>
      </c>
      <c r="B150" s="2" t="s">
        <v>320</v>
      </c>
      <c r="C150" s="2">
        <f t="shared" si="11"/>
        <v>164</v>
      </c>
      <c r="D150" s="1" t="s">
        <v>321</v>
      </c>
      <c r="F150" s="1" t="str">
        <f t="shared" si="10"/>
        <v>¤</v>
      </c>
      <c r="G150" s="6"/>
    </row>
    <row r="151" spans="1:7" x14ac:dyDescent="0.2">
      <c r="A151" s="1" t="s">
        <v>322</v>
      </c>
      <c r="B151" s="2" t="s">
        <v>323</v>
      </c>
      <c r="C151" s="2">
        <f t="shared" si="11"/>
        <v>165</v>
      </c>
      <c r="D151" s="1" t="s">
        <v>324</v>
      </c>
      <c r="F151" s="1" t="str">
        <f t="shared" si="10"/>
        <v>¥</v>
      </c>
      <c r="G151" s="6"/>
    </row>
    <row r="152" spans="1:7" x14ac:dyDescent="0.2">
      <c r="A152" s="1" t="s">
        <v>91</v>
      </c>
      <c r="F152" s="1" t="str">
        <f t="shared" si="10"/>
        <v>- - -</v>
      </c>
      <c r="G152" s="6"/>
    </row>
    <row r="153" spans="1:7" x14ac:dyDescent="0.2">
      <c r="A153" s="1" t="s">
        <v>325</v>
      </c>
      <c r="B153" s="2" t="s">
        <v>326</v>
      </c>
      <c r="C153" s="2">
        <f t="shared" si="11"/>
        <v>166</v>
      </c>
      <c r="F153" s="1" t="str">
        <f t="shared" si="10"/>
        <v>¦</v>
      </c>
      <c r="G153" s="6"/>
    </row>
    <row r="154" spans="1:7" x14ac:dyDescent="0.2">
      <c r="A154" s="1" t="s">
        <v>327</v>
      </c>
      <c r="B154" s="2" t="s">
        <v>328</v>
      </c>
      <c r="C154" s="2">
        <f t="shared" si="11"/>
        <v>167</v>
      </c>
      <c r="F154" s="1" t="str">
        <f t="shared" si="10"/>
        <v>§</v>
      </c>
      <c r="G154" s="6"/>
    </row>
    <row r="155" spans="1:7" x14ac:dyDescent="0.2">
      <c r="A155" s="1" t="s">
        <v>329</v>
      </c>
      <c r="B155" s="2" t="s">
        <v>330</v>
      </c>
      <c r="C155" s="2">
        <f t="shared" si="11"/>
        <v>168</v>
      </c>
      <c r="F155" s="1" t="str">
        <f t="shared" si="10"/>
        <v>¨</v>
      </c>
      <c r="G155" s="6"/>
    </row>
    <row r="156" spans="1:7" x14ac:dyDescent="0.2">
      <c r="A156" s="1" t="s">
        <v>331</v>
      </c>
      <c r="B156" s="2" t="s">
        <v>332</v>
      </c>
      <c r="C156" s="2">
        <f t="shared" si="11"/>
        <v>169</v>
      </c>
      <c r="F156" s="1" t="str">
        <f t="shared" si="10"/>
        <v>©</v>
      </c>
      <c r="G156" s="6"/>
    </row>
    <row r="157" spans="1:7" x14ac:dyDescent="0.2">
      <c r="A157" s="1" t="s">
        <v>333</v>
      </c>
      <c r="B157" s="2" t="s">
        <v>334</v>
      </c>
      <c r="C157" s="2">
        <f t="shared" si="11"/>
        <v>170</v>
      </c>
      <c r="F157" s="1" t="str">
        <f t="shared" si="10"/>
        <v>ª</v>
      </c>
      <c r="G157" s="6"/>
    </row>
    <row r="158" spans="1:7" x14ac:dyDescent="0.2">
      <c r="A158" s="1" t="s">
        <v>335</v>
      </c>
      <c r="B158" s="2" t="s">
        <v>336</v>
      </c>
      <c r="C158" s="2">
        <f t="shared" si="11"/>
        <v>171</v>
      </c>
      <c r="F158" s="1" t="str">
        <f t="shared" si="10"/>
        <v>«</v>
      </c>
      <c r="G158" s="6"/>
    </row>
    <row r="159" spans="1:7" x14ac:dyDescent="0.2">
      <c r="A159" s="1" t="s">
        <v>337</v>
      </c>
      <c r="B159" s="2" t="s">
        <v>338</v>
      </c>
      <c r="C159" s="2">
        <f t="shared" si="11"/>
        <v>172</v>
      </c>
      <c r="D159" s="1" t="s">
        <v>339</v>
      </c>
      <c r="F159" s="1" t="str">
        <f t="shared" si="10"/>
        <v>¬</v>
      </c>
      <c r="G159" s="6"/>
    </row>
    <row r="160" spans="1:7" x14ac:dyDescent="0.2">
      <c r="A160" s="1" t="s">
        <v>91</v>
      </c>
      <c r="F160" s="1" t="str">
        <f t="shared" si="10"/>
        <v>- - -</v>
      </c>
      <c r="G160" s="6"/>
    </row>
    <row r="161" spans="1:7" x14ac:dyDescent="0.2">
      <c r="A161" s="1" t="s">
        <v>340</v>
      </c>
      <c r="B161" s="2" t="s">
        <v>341</v>
      </c>
      <c r="C161" s="2">
        <f>HEX2DEC(B161)</f>
        <v>173</v>
      </c>
      <c r="F161" s="1" t="str">
        <f t="shared" si="10"/>
        <v>­</v>
      </c>
      <c r="G161" s="6"/>
    </row>
    <row r="162" spans="1:7" x14ac:dyDescent="0.2">
      <c r="A162" s="1" t="s">
        <v>342</v>
      </c>
      <c r="B162" s="2" t="s">
        <v>343</v>
      </c>
      <c r="C162" s="2">
        <f>HEX2DEC(B162)</f>
        <v>174</v>
      </c>
      <c r="F162" s="1" t="str">
        <f t="shared" si="10"/>
        <v>®</v>
      </c>
      <c r="G162" s="6"/>
    </row>
    <row r="163" spans="1:7" x14ac:dyDescent="0.2">
      <c r="A163" s="1" t="s">
        <v>344</v>
      </c>
      <c r="B163" s="2" t="s">
        <v>345</v>
      </c>
      <c r="C163" s="2">
        <f>HEX2DEC(B163)</f>
        <v>175</v>
      </c>
      <c r="F163" s="1" t="str">
        <f t="shared" si="10"/>
        <v>¯</v>
      </c>
      <c r="G163" s="6"/>
    </row>
    <row r="164" spans="1:7" x14ac:dyDescent="0.2">
      <c r="A164" s="1" t="s">
        <v>91</v>
      </c>
      <c r="F164" s="1" t="str">
        <f t="shared" si="10"/>
        <v>- - -</v>
      </c>
      <c r="G164" s="6"/>
    </row>
    <row r="165" spans="1:7" x14ac:dyDescent="0.2">
      <c r="A165" s="1" t="s">
        <v>346</v>
      </c>
      <c r="B165" s="2" t="s">
        <v>347</v>
      </c>
      <c r="C165" s="2">
        <f>HEX2DEC(B165)</f>
        <v>176</v>
      </c>
      <c r="F165" s="1" t="str">
        <f t="shared" si="10"/>
        <v>°</v>
      </c>
      <c r="G165" s="6"/>
    </row>
    <row r="166" spans="1:7" x14ac:dyDescent="0.2">
      <c r="A166" s="1" t="s">
        <v>348</v>
      </c>
      <c r="B166" s="2" t="s">
        <v>349</v>
      </c>
      <c r="C166" s="2">
        <f>HEX2DEC(B166)</f>
        <v>177</v>
      </c>
      <c r="F166" s="1" t="str">
        <f t="shared" si="10"/>
        <v>±</v>
      </c>
      <c r="G166" s="6"/>
    </row>
    <row r="167" spans="1:7" x14ac:dyDescent="0.2">
      <c r="A167" s="1" t="s">
        <v>350</v>
      </c>
      <c r="B167" s="2" t="s">
        <v>351</v>
      </c>
      <c r="C167" s="2">
        <f>HEX2DEC(B167)</f>
        <v>178</v>
      </c>
      <c r="F167" s="1" t="str">
        <f t="shared" si="10"/>
        <v>²</v>
      </c>
      <c r="G167" s="6"/>
    </row>
    <row r="168" spans="1:7" x14ac:dyDescent="0.2">
      <c r="A168" s="1" t="s">
        <v>352</v>
      </c>
      <c r="B168" s="2" t="s">
        <v>353</v>
      </c>
      <c r="C168" s="2">
        <f>HEX2DEC(B168)</f>
        <v>179</v>
      </c>
      <c r="F168" s="1" t="str">
        <f t="shared" si="10"/>
        <v>³</v>
      </c>
      <c r="G168" s="6"/>
    </row>
    <row r="169" spans="1:7" x14ac:dyDescent="0.2">
      <c r="A169" s="1" t="s">
        <v>91</v>
      </c>
      <c r="F169" s="1" t="str">
        <f t="shared" si="10"/>
        <v>- - -</v>
      </c>
      <c r="G169" s="6"/>
    </row>
    <row r="170" spans="1:7" x14ac:dyDescent="0.2">
      <c r="A170" s="1" t="s">
        <v>354</v>
      </c>
      <c r="B170" s="2" t="s">
        <v>355</v>
      </c>
      <c r="C170" s="2">
        <f>HEX2DEC(B170)</f>
        <v>180</v>
      </c>
      <c r="F170" s="1" t="str">
        <f t="shared" si="10"/>
        <v>´</v>
      </c>
      <c r="G170" s="6"/>
    </row>
    <row r="171" spans="1:7" x14ac:dyDescent="0.2">
      <c r="A171" s="1" t="s">
        <v>356</v>
      </c>
      <c r="B171" s="2" t="s">
        <v>357</v>
      </c>
      <c r="C171" s="2">
        <f>HEX2DEC(B171)</f>
        <v>181</v>
      </c>
      <c r="F171" s="1" t="str">
        <f t="shared" si="10"/>
        <v>µ</v>
      </c>
      <c r="G171" s="6"/>
    </row>
    <row r="172" spans="1:7" x14ac:dyDescent="0.2">
      <c r="A172" s="1" t="s">
        <v>358</v>
      </c>
      <c r="B172" s="2" t="s">
        <v>359</v>
      </c>
      <c r="C172" s="2">
        <f>HEX2DEC(B172)</f>
        <v>182</v>
      </c>
      <c r="F172" s="1" t="str">
        <f t="shared" si="10"/>
        <v>¶</v>
      </c>
      <c r="G172" s="6"/>
    </row>
    <row r="173" spans="1:7" x14ac:dyDescent="0.2">
      <c r="A173" s="1" t="s">
        <v>360</v>
      </c>
      <c r="B173" s="2" t="s">
        <v>361</v>
      </c>
      <c r="C173" s="2">
        <f>HEX2DEC(B173)</f>
        <v>183</v>
      </c>
      <c r="F173" s="1" t="str">
        <f t="shared" si="10"/>
        <v>·</v>
      </c>
      <c r="G173" s="6"/>
    </row>
    <row r="174" spans="1:7" x14ac:dyDescent="0.2">
      <c r="A174" s="1" t="s">
        <v>91</v>
      </c>
      <c r="F174" s="1" t="str">
        <f t="shared" si="10"/>
        <v>- - -</v>
      </c>
      <c r="G174" s="6"/>
    </row>
    <row r="175" spans="1:7" ht="25.5" x14ac:dyDescent="0.2">
      <c r="A175" s="1" t="s">
        <v>362</v>
      </c>
      <c r="B175" s="2" t="s">
        <v>363</v>
      </c>
      <c r="C175" s="2">
        <f t="shared" ref="C175:C205" si="12">HEX2DEC(B175)</f>
        <v>186</v>
      </c>
      <c r="D175" s="5" t="s">
        <v>364</v>
      </c>
      <c r="F175" s="1" t="str">
        <f t="shared" si="10"/>
        <v>º</v>
      </c>
      <c r="G175" s="6"/>
    </row>
    <row r="176" spans="1:7" x14ac:dyDescent="0.2">
      <c r="A176" s="1" t="s">
        <v>365</v>
      </c>
      <c r="B176" s="2" t="s">
        <v>366</v>
      </c>
      <c r="C176" s="2">
        <f t="shared" si="12"/>
        <v>187</v>
      </c>
      <c r="D176" s="1" t="s">
        <v>226</v>
      </c>
      <c r="F176" s="1" t="str">
        <f t="shared" si="10"/>
        <v>»</v>
      </c>
      <c r="G176" s="6"/>
    </row>
    <row r="177" spans="1:7" x14ac:dyDescent="0.2">
      <c r="A177" s="1" t="s">
        <v>55</v>
      </c>
      <c r="B177" s="2" t="s">
        <v>367</v>
      </c>
      <c r="C177" s="2">
        <f t="shared" si="12"/>
        <v>188</v>
      </c>
      <c r="D177" s="1" t="s">
        <v>229</v>
      </c>
      <c r="F177" s="1" t="str">
        <f t="shared" si="10"/>
        <v>¼</v>
      </c>
      <c r="G177" s="6"/>
    </row>
    <row r="178" spans="1:7" x14ac:dyDescent="0.2">
      <c r="A178" s="1" t="s">
        <v>51</v>
      </c>
      <c r="B178" s="2" t="s">
        <v>368</v>
      </c>
      <c r="C178" s="2">
        <f t="shared" si="12"/>
        <v>189</v>
      </c>
      <c r="D178" s="1" t="s">
        <v>232</v>
      </c>
      <c r="F178" s="1" t="str">
        <f t="shared" si="10"/>
        <v>½</v>
      </c>
      <c r="G178" s="6"/>
    </row>
    <row r="179" spans="1:7" x14ac:dyDescent="0.2">
      <c r="A179" s="1" t="s">
        <v>53</v>
      </c>
      <c r="B179" s="2" t="s">
        <v>369</v>
      </c>
      <c r="C179" s="2">
        <f t="shared" si="12"/>
        <v>190</v>
      </c>
      <c r="D179" s="1" t="s">
        <v>235</v>
      </c>
      <c r="F179" s="1" t="str">
        <f t="shared" si="10"/>
        <v>¾</v>
      </c>
      <c r="G179" s="6"/>
    </row>
    <row r="180" spans="1:7" ht="25.5" x14ac:dyDescent="0.2">
      <c r="A180" s="1" t="s">
        <v>370</v>
      </c>
      <c r="B180" s="2" t="s">
        <v>371</v>
      </c>
      <c r="C180" s="2">
        <f t="shared" si="12"/>
        <v>191</v>
      </c>
      <c r="D180" s="5" t="s">
        <v>372</v>
      </c>
      <c r="F180" s="1" t="str">
        <f t="shared" si="10"/>
        <v>¿</v>
      </c>
      <c r="G180" s="6"/>
    </row>
    <row r="181" spans="1:7" ht="25.5" x14ac:dyDescent="0.2">
      <c r="A181" s="1" t="s">
        <v>373</v>
      </c>
      <c r="B181" s="2" t="s">
        <v>374</v>
      </c>
      <c r="C181" s="2">
        <f t="shared" si="12"/>
        <v>192</v>
      </c>
      <c r="D181" s="5" t="s">
        <v>375</v>
      </c>
      <c r="F181" s="1" t="str">
        <f t="shared" si="10"/>
        <v>À</v>
      </c>
      <c r="G181" s="6"/>
    </row>
    <row r="182" spans="1:7" ht="25.5" x14ac:dyDescent="0.2">
      <c r="A182" s="1" t="s">
        <v>376</v>
      </c>
      <c r="B182" s="2" t="s">
        <v>377</v>
      </c>
      <c r="C182" s="2">
        <f t="shared" si="12"/>
        <v>219</v>
      </c>
      <c r="D182" s="5" t="s">
        <v>378</v>
      </c>
      <c r="F182" s="1" t="str">
        <f t="shared" si="10"/>
        <v>Û</v>
      </c>
      <c r="G182" s="6"/>
    </row>
    <row r="183" spans="1:7" ht="25.5" x14ac:dyDescent="0.2">
      <c r="A183" s="1" t="s">
        <v>379</v>
      </c>
      <c r="B183" s="2" t="s">
        <v>380</v>
      </c>
      <c r="C183" s="2">
        <f t="shared" si="12"/>
        <v>220</v>
      </c>
      <c r="D183" s="5" t="s">
        <v>381</v>
      </c>
      <c r="F183" s="1" t="str">
        <f t="shared" si="10"/>
        <v>Ü</v>
      </c>
      <c r="G183" s="6"/>
    </row>
    <row r="184" spans="1:7" ht="25.5" x14ac:dyDescent="0.2">
      <c r="A184" s="1" t="s">
        <v>382</v>
      </c>
      <c r="B184" s="2" t="s">
        <v>383</v>
      </c>
      <c r="C184" s="2">
        <f t="shared" si="12"/>
        <v>221</v>
      </c>
      <c r="D184" s="5" t="s">
        <v>384</v>
      </c>
      <c r="F184" s="1" t="str">
        <f t="shared" si="10"/>
        <v>Ý</v>
      </c>
      <c r="G184" s="6"/>
    </row>
    <row r="185" spans="1:7" ht="25.5" x14ac:dyDescent="0.2">
      <c r="A185" s="1" t="s">
        <v>385</v>
      </c>
      <c r="B185" s="2" t="s">
        <v>386</v>
      </c>
      <c r="C185" s="2">
        <f t="shared" si="12"/>
        <v>222</v>
      </c>
      <c r="D185" s="5" t="s">
        <v>387</v>
      </c>
      <c r="F185" s="1" t="str">
        <f t="shared" si="10"/>
        <v>Þ</v>
      </c>
      <c r="G185" s="6"/>
    </row>
    <row r="186" spans="1:7" x14ac:dyDescent="0.2">
      <c r="A186" s="1" t="s">
        <v>388</v>
      </c>
      <c r="B186" s="2" t="s">
        <v>389</v>
      </c>
      <c r="C186" s="2">
        <f t="shared" si="12"/>
        <v>223</v>
      </c>
      <c r="D186" s="5" t="s">
        <v>390</v>
      </c>
      <c r="F186" s="1" t="str">
        <f t="shared" si="10"/>
        <v>ß</v>
      </c>
      <c r="G186" s="6"/>
    </row>
    <row r="187" spans="1:7" x14ac:dyDescent="0.2">
      <c r="A187" s="1" t="s">
        <v>391</v>
      </c>
      <c r="B187" s="2" t="s">
        <v>392</v>
      </c>
      <c r="C187" s="2">
        <f t="shared" si="12"/>
        <v>224</v>
      </c>
      <c r="D187" s="5" t="s">
        <v>393</v>
      </c>
      <c r="F187" s="1" t="str">
        <f t="shared" si="10"/>
        <v>à</v>
      </c>
      <c r="G187" s="6"/>
    </row>
    <row r="188" spans="1:7" x14ac:dyDescent="0.2">
      <c r="A188" s="1" t="s">
        <v>394</v>
      </c>
      <c r="B188" s="2" t="s">
        <v>395</v>
      </c>
      <c r="C188" s="2">
        <f t="shared" si="12"/>
        <v>225</v>
      </c>
      <c r="D188" s="5" t="s">
        <v>396</v>
      </c>
      <c r="F188" s="1" t="str">
        <f t="shared" si="10"/>
        <v>á</v>
      </c>
      <c r="G188" s="6"/>
    </row>
    <row r="189" spans="1:7" ht="25.5" x14ac:dyDescent="0.2">
      <c r="A189" s="1" t="s">
        <v>397</v>
      </c>
      <c r="B189" s="2" t="s">
        <v>398</v>
      </c>
      <c r="C189" s="2">
        <f t="shared" si="12"/>
        <v>226</v>
      </c>
      <c r="D189" s="5" t="s">
        <v>399</v>
      </c>
      <c r="F189" s="1" t="str">
        <f t="shared" si="10"/>
        <v>â</v>
      </c>
      <c r="G189" s="6"/>
    </row>
    <row r="190" spans="1:7" x14ac:dyDescent="0.2">
      <c r="A190" s="1" t="s">
        <v>400</v>
      </c>
      <c r="B190" s="2" t="s">
        <v>401</v>
      </c>
      <c r="C190" s="2">
        <f t="shared" si="12"/>
        <v>227</v>
      </c>
      <c r="D190" s="5" t="s">
        <v>396</v>
      </c>
      <c r="F190" s="1" t="str">
        <f t="shared" si="10"/>
        <v>ã</v>
      </c>
      <c r="G190" s="6"/>
    </row>
    <row r="191" spans="1:7" x14ac:dyDescent="0.2">
      <c r="A191" s="1" t="s">
        <v>402</v>
      </c>
      <c r="B191" s="2" t="s">
        <v>403</v>
      </c>
      <c r="C191" s="2">
        <f t="shared" si="12"/>
        <v>228</v>
      </c>
      <c r="D191" s="5" t="s">
        <v>396</v>
      </c>
      <c r="F191" s="1" t="str">
        <f t="shared" si="10"/>
        <v>ä</v>
      </c>
      <c r="G191" s="6"/>
    </row>
    <row r="192" spans="1:7" x14ac:dyDescent="0.2">
      <c r="A192" s="1" t="s">
        <v>404</v>
      </c>
      <c r="B192" s="2" t="s">
        <v>405</v>
      </c>
      <c r="C192" s="2">
        <f t="shared" si="12"/>
        <v>230</v>
      </c>
      <c r="D192" s="5" t="s">
        <v>396</v>
      </c>
      <c r="F192" s="1" t="str">
        <f t="shared" si="10"/>
        <v>æ</v>
      </c>
      <c r="G192" s="6"/>
    </row>
    <row r="193" spans="1:7" x14ac:dyDescent="0.2">
      <c r="A193" s="1" t="s">
        <v>406</v>
      </c>
      <c r="B193" s="2" t="s">
        <v>407</v>
      </c>
      <c r="C193" s="2">
        <f t="shared" si="12"/>
        <v>233</v>
      </c>
      <c r="D193" s="5" t="s">
        <v>396</v>
      </c>
      <c r="F193" s="1" t="str">
        <f t="shared" si="10"/>
        <v>é</v>
      </c>
      <c r="G193" s="6"/>
    </row>
    <row r="194" spans="1:7" x14ac:dyDescent="0.2">
      <c r="A194" s="1" t="s">
        <v>408</v>
      </c>
      <c r="B194" s="2" t="s">
        <v>409</v>
      </c>
      <c r="C194" s="2">
        <f t="shared" si="12"/>
        <v>234</v>
      </c>
      <c r="D194" s="5" t="s">
        <v>396</v>
      </c>
      <c r="F194" s="1" t="str">
        <f t="shared" ref="F194:F215" si="13">IFERROR(CHAR(C194),"- - -")</f>
        <v>ê</v>
      </c>
      <c r="G194" s="6"/>
    </row>
    <row r="195" spans="1:7" x14ac:dyDescent="0.2">
      <c r="A195" s="1" t="s">
        <v>410</v>
      </c>
      <c r="B195" s="2" t="s">
        <v>411</v>
      </c>
      <c r="C195" s="2">
        <f t="shared" si="12"/>
        <v>235</v>
      </c>
      <c r="D195" s="5" t="s">
        <v>396</v>
      </c>
      <c r="F195" s="1" t="str">
        <f t="shared" si="13"/>
        <v>ë</v>
      </c>
      <c r="G195" s="6"/>
    </row>
    <row r="196" spans="1:7" x14ac:dyDescent="0.2">
      <c r="A196" s="1" t="s">
        <v>412</v>
      </c>
      <c r="B196" s="2" t="s">
        <v>413</v>
      </c>
      <c r="C196" s="2">
        <f t="shared" si="12"/>
        <v>236</v>
      </c>
      <c r="D196" s="5" t="s">
        <v>396</v>
      </c>
      <c r="F196" s="1" t="str">
        <f t="shared" si="13"/>
        <v>ì</v>
      </c>
      <c r="G196" s="6"/>
    </row>
    <row r="197" spans="1:7" x14ac:dyDescent="0.2">
      <c r="A197" s="1" t="s">
        <v>414</v>
      </c>
      <c r="B197" s="2" t="s">
        <v>415</v>
      </c>
      <c r="C197" s="2">
        <f t="shared" si="12"/>
        <v>237</v>
      </c>
      <c r="D197" s="5" t="s">
        <v>396</v>
      </c>
      <c r="F197" s="1" t="str">
        <f t="shared" si="13"/>
        <v>í</v>
      </c>
      <c r="G197" s="6"/>
    </row>
    <row r="198" spans="1:7" x14ac:dyDescent="0.2">
      <c r="A198" s="1" t="s">
        <v>416</v>
      </c>
      <c r="B198" s="2" t="s">
        <v>417</v>
      </c>
      <c r="C198" s="2">
        <f t="shared" si="12"/>
        <v>238</v>
      </c>
      <c r="D198" s="5" t="s">
        <v>396</v>
      </c>
      <c r="F198" s="1" t="str">
        <f t="shared" si="13"/>
        <v>î</v>
      </c>
      <c r="G198" s="6"/>
    </row>
    <row r="199" spans="1:7" x14ac:dyDescent="0.2">
      <c r="A199" s="1" t="s">
        <v>418</v>
      </c>
      <c r="B199" s="2" t="s">
        <v>419</v>
      </c>
      <c r="C199" s="2">
        <f t="shared" si="12"/>
        <v>239</v>
      </c>
      <c r="D199" s="5" t="s">
        <v>396</v>
      </c>
      <c r="F199" s="1" t="str">
        <f t="shared" si="13"/>
        <v>ï</v>
      </c>
      <c r="G199" s="6"/>
    </row>
    <row r="200" spans="1:7" x14ac:dyDescent="0.2">
      <c r="A200" s="1" t="s">
        <v>420</v>
      </c>
      <c r="B200" s="2" t="s">
        <v>421</v>
      </c>
      <c r="C200" s="2">
        <f t="shared" si="12"/>
        <v>240</v>
      </c>
      <c r="D200" s="5" t="s">
        <v>396</v>
      </c>
      <c r="F200" s="1" t="str">
        <f t="shared" si="13"/>
        <v>ð</v>
      </c>
      <c r="G200" s="6"/>
    </row>
    <row r="201" spans="1:7" x14ac:dyDescent="0.2">
      <c r="A201" s="1" t="s">
        <v>422</v>
      </c>
      <c r="B201" s="2" t="s">
        <v>42</v>
      </c>
      <c r="C201" s="2">
        <f t="shared" si="12"/>
        <v>241</v>
      </c>
      <c r="D201" s="5" t="s">
        <v>396</v>
      </c>
      <c r="F201" s="1" t="str">
        <f t="shared" si="13"/>
        <v>ñ</v>
      </c>
      <c r="G201" s="6"/>
    </row>
    <row r="202" spans="1:7" x14ac:dyDescent="0.2">
      <c r="A202" s="1" t="s">
        <v>423</v>
      </c>
      <c r="B202" s="2" t="s">
        <v>241</v>
      </c>
      <c r="C202" s="2">
        <f t="shared" si="12"/>
        <v>242</v>
      </c>
      <c r="D202" s="5" t="s">
        <v>396</v>
      </c>
      <c r="F202" s="1" t="str">
        <f t="shared" si="13"/>
        <v>ò</v>
      </c>
      <c r="G202" s="6"/>
    </row>
    <row r="203" spans="1:7" x14ac:dyDescent="0.2">
      <c r="A203" s="1" t="s">
        <v>424</v>
      </c>
      <c r="B203" s="2" t="s">
        <v>244</v>
      </c>
      <c r="C203" s="2">
        <f t="shared" si="12"/>
        <v>243</v>
      </c>
      <c r="D203" s="5" t="s">
        <v>396</v>
      </c>
      <c r="F203" s="1" t="str">
        <f t="shared" si="13"/>
        <v>ó</v>
      </c>
      <c r="G203" s="6"/>
    </row>
    <row r="204" spans="1:7" x14ac:dyDescent="0.2">
      <c r="A204" s="1" t="s">
        <v>425</v>
      </c>
      <c r="B204" s="2" t="s">
        <v>247</v>
      </c>
      <c r="C204" s="2">
        <f t="shared" si="12"/>
        <v>244</v>
      </c>
      <c r="D204" s="5" t="s">
        <v>396</v>
      </c>
      <c r="F204" s="1" t="str">
        <f t="shared" si="13"/>
        <v>ô</v>
      </c>
      <c r="G204" s="6"/>
    </row>
    <row r="205" spans="1:7" x14ac:dyDescent="0.2">
      <c r="A205" s="1" t="s">
        <v>426</v>
      </c>
      <c r="B205" s="2" t="s">
        <v>250</v>
      </c>
      <c r="C205" s="2">
        <f t="shared" si="12"/>
        <v>245</v>
      </c>
      <c r="D205" s="5" t="s">
        <v>396</v>
      </c>
      <c r="F205" s="1" t="str">
        <f t="shared" si="13"/>
        <v>õ</v>
      </c>
      <c r="G205" s="6"/>
    </row>
    <row r="206" spans="1:7" x14ac:dyDescent="0.2">
      <c r="A206" s="1" t="s">
        <v>91</v>
      </c>
      <c r="F206" s="1" t="str">
        <f t="shared" si="13"/>
        <v>- - -</v>
      </c>
      <c r="G206" s="6"/>
    </row>
    <row r="207" spans="1:7" x14ac:dyDescent="0.2">
      <c r="A207" s="1" t="s">
        <v>427</v>
      </c>
      <c r="B207" s="2" t="s">
        <v>253</v>
      </c>
      <c r="C207" s="2">
        <f t="shared" ref="C207:C215" si="14">HEX2DEC(B207)</f>
        <v>246</v>
      </c>
      <c r="D207" s="5" t="s">
        <v>428</v>
      </c>
      <c r="F207" s="1" t="str">
        <f t="shared" si="13"/>
        <v>ö</v>
      </c>
      <c r="G207" s="6"/>
    </row>
    <row r="208" spans="1:7" x14ac:dyDescent="0.2">
      <c r="A208" s="1" t="s">
        <v>429</v>
      </c>
      <c r="B208" s="2" t="s">
        <v>256</v>
      </c>
      <c r="C208" s="2">
        <f t="shared" si="14"/>
        <v>247</v>
      </c>
      <c r="D208" s="5" t="s">
        <v>430</v>
      </c>
      <c r="F208" s="1" t="str">
        <f t="shared" si="13"/>
        <v>÷</v>
      </c>
      <c r="G208" s="6"/>
    </row>
    <row r="209" spans="1:7" x14ac:dyDescent="0.2">
      <c r="A209" s="1" t="s">
        <v>431</v>
      </c>
      <c r="B209" s="2" t="s">
        <v>259</v>
      </c>
      <c r="C209" s="2">
        <f t="shared" si="14"/>
        <v>248</v>
      </c>
      <c r="D209" s="5" t="s">
        <v>432</v>
      </c>
      <c r="F209" s="1" t="str">
        <f t="shared" si="13"/>
        <v>ø</v>
      </c>
      <c r="G209" s="6"/>
    </row>
    <row r="210" spans="1:7" x14ac:dyDescent="0.2">
      <c r="A210" s="1" t="s">
        <v>433</v>
      </c>
      <c r="B210" s="2" t="s">
        <v>262</v>
      </c>
      <c r="C210" s="2">
        <f t="shared" si="14"/>
        <v>249</v>
      </c>
      <c r="D210" s="5" t="s">
        <v>434</v>
      </c>
      <c r="F210" s="1" t="str">
        <f t="shared" si="13"/>
        <v>ù</v>
      </c>
      <c r="G210" s="6"/>
    </row>
    <row r="211" spans="1:7" x14ac:dyDescent="0.2">
      <c r="A211" s="1" t="s">
        <v>435</v>
      </c>
      <c r="B211" s="2" t="s">
        <v>436</v>
      </c>
      <c r="C211" s="2">
        <f t="shared" si="14"/>
        <v>250</v>
      </c>
      <c r="D211" s="5" t="s">
        <v>437</v>
      </c>
      <c r="F211" s="1" t="str">
        <f t="shared" si="13"/>
        <v>ú</v>
      </c>
      <c r="G211" s="6"/>
    </row>
    <row r="212" spans="1:7" x14ac:dyDescent="0.2">
      <c r="A212" s="1" t="s">
        <v>438</v>
      </c>
      <c r="B212" s="2" t="s">
        <v>439</v>
      </c>
      <c r="C212" s="2">
        <f t="shared" si="14"/>
        <v>251</v>
      </c>
      <c r="D212" s="5" t="s">
        <v>440</v>
      </c>
      <c r="F212" s="1" t="str">
        <f t="shared" si="13"/>
        <v>û</v>
      </c>
      <c r="G212" s="6"/>
    </row>
    <row r="213" spans="1:7" x14ac:dyDescent="0.2">
      <c r="A213" s="1" t="s">
        <v>441</v>
      </c>
      <c r="B213" s="2" t="s">
        <v>442</v>
      </c>
      <c r="C213" s="2">
        <f t="shared" si="14"/>
        <v>252</v>
      </c>
      <c r="D213" s="5" t="s">
        <v>393</v>
      </c>
      <c r="F213" s="1" t="str">
        <f t="shared" si="13"/>
        <v>ü</v>
      </c>
      <c r="G213" s="6"/>
    </row>
    <row r="214" spans="1:7" x14ac:dyDescent="0.2">
      <c r="A214" s="1" t="s">
        <v>443</v>
      </c>
      <c r="B214" s="2" t="s">
        <v>444</v>
      </c>
      <c r="C214" s="2">
        <f t="shared" si="14"/>
        <v>253</v>
      </c>
      <c r="D214" s="5" t="s">
        <v>443</v>
      </c>
      <c r="F214" s="1" t="str">
        <f t="shared" si="13"/>
        <v>ý</v>
      </c>
      <c r="G214" s="6"/>
    </row>
    <row r="215" spans="1:7" x14ac:dyDescent="0.2">
      <c r="A215" s="1" t="s">
        <v>445</v>
      </c>
      <c r="B215" s="2" t="s">
        <v>446</v>
      </c>
      <c r="C215" s="2">
        <f t="shared" si="14"/>
        <v>254</v>
      </c>
      <c r="D215" s="5" t="s">
        <v>447</v>
      </c>
      <c r="F215" s="1" t="str">
        <f t="shared" si="13"/>
        <v>þ</v>
      </c>
      <c r="G215" s="6"/>
    </row>
  </sheetData>
  <pageMargins left="0.23622047244094491" right="0.23622047244094491" top="0.74803149606299213" bottom="0.74803149606299213" header="0.31496062992125984" footer="0.31496062992125984"/>
  <pageSetup paperSize="9" scale="83" fitToHeight="0" orientation="portrait" horizontalDpi="0" verticalDpi="0" r:id="rId1"/>
  <headerFooter>
    <oddHeader>&amp;LIonut Ojica&amp;CPage &amp;P of &amp;N&amp;RPrinted on &amp;D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Automation</vt:lpstr>
      <vt:lpstr>KeyPress</vt:lpstr>
      <vt:lpstr>Automation!Print_Area</vt:lpstr>
      <vt:lpstr>KeyPress!Print_Area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2025-12-14T17:39:05Z</dcterms:created>
  <dcterms:modified xsi:type="dcterms:W3CDTF">2025-12-14T17:42:27Z</dcterms:modified>
  <cp:category/>
  <cp:contentStatus/>
</cp:coreProperties>
</file>